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937d9bc48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пущения" sheetId="1" r:id="R7a4d244926714728"/>
    <x:sheet xmlns:r="http://schemas.openxmlformats.org/officeDocument/2006/relationships" name="Сравнение" sheetId="2" r:id="Re5e23850ed9e4e5c"/>
    <x:sheet xmlns:r="http://schemas.openxmlformats.org/officeDocument/2006/relationships" name="Денежный поток" sheetId="3" r:id="R975d44cb184a41a8"/>
    <x:sheet xmlns:r="http://schemas.openxmlformats.org/officeDocument/2006/relationships" name="Чувствительность" sheetId="4" r:id="R262ecb1856c54c6c"/>
    <x:sheet xmlns:r="http://schemas.openxmlformats.org/officeDocument/2006/relationships" name="Проверки" sheetId="5" r:id="Raa40d39ca7174d54"/>
    <x:sheet xmlns:r="http://schemas.openxmlformats.org/officeDocument/2006/relationships" name="Источники" sheetId="6" r:id="R290fb04039344d09"/>
    <x:sheet xmlns:r="http://schemas.openxmlformats.org/officeDocument/2006/relationships" name="Резюме" sheetId="7" r:id="R64767fcbe59849ab"/>
    <x:sheet xmlns:r="http://schemas.openxmlformats.org/officeDocument/2006/relationships" name="Инвест. расчет" sheetId="8" r:id="Rc66b618f7d7a4731"/>
    <x:sheet xmlns:r="http://schemas.openxmlformats.org/officeDocument/2006/relationships" name="Инвест. итоги" sheetId="9" r:id="R8fe455be998c4acb"/>
  </x:sheets>
</x:workbook>
</file>

<file path=xl/comments1.xml><?xml version="1.0" encoding="utf-8"?>
<x:comments xmlns:x="http://schemas.openxmlformats.org/spreadsheetml/2006/main">
  <x:authors>
    <x:author>tc={6C5C0ACD-BF74-CB94-F6CC-F92E4A6E2B7E}</x:author>
  </x:authors>
  <x:commentList>
    <x:comment ref="C2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Банк России. Решение от 24.07.2026: ключевая ставка 14,0% годовых с 28.07.2026. Модельная премия: +1,5 п.п. URL: https://www.cbr.ru/press/pr/?file=24072026_133000key.htm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#,##0.00"/>
    <x:numFmt numFmtId="201" formatCode="0"/>
    <x:numFmt numFmtId="202" formatCode="#,##0 &quot;₽&quot;"/>
    <x:numFmt numFmtId="203" formatCode="0.0%"/>
    <x:numFmt numFmtId="204" formatCode="#,##0.0"/>
    <x:numFmt numFmtId="205" formatCode="0.0 &quot;мин&quot;"/>
    <x:numFmt numFmtId="206" formatCode="0.0&quot;×&quot;"/>
    <x:numFmt numFmtId="207" formatCode="0.0,, &quot;млн ₽&quot;"/>
    <x:numFmt numFmtId="208" formatCode="0.0 &quot;мес.&quot;"/>
    <x:numFmt numFmtId="209" formatCode="0 &quot;инц.&quot;"/>
    <x:numFmt numFmtId="210" formatCode="0.0%;[Red](0.0%);-"/>
    <x:numFmt numFmtId="211" formatCode="0&quot; мес.&quot;"/>
    <x:numFmt numFmtId="212" formatCode="#,##0;[Red](#,##0);-"/>
    <x:numFmt numFmtId="213" formatCode="0.0000"/>
    <x:numFmt numFmtId="214" formatCode="0.00x;[Red](0.00x);-"/>
    <x:numFmt numFmtId="215" formatCode="0.0&quot; мес.&quot;"/>
    <x:numFmt numFmtId="216" formatCode="0.0,,&quot; млн ₽&quot;;[Red](0.0,,&quot; млн ₽&quot;);-"/>
  </x:numFmts>
  <x:fonts count="6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b/>
      <x:sz val="11"/>
      <x:color rgb="FF0563C1"/>
      <x:name val="Carlito"/>
    </x:font>
    <x:font>
      <x:i/>
      <x:sz val="11"/>
      <x:color rgb="FF2E7D32"/>
      <x:name val="Carlito"/>
    </x:font>
    <x:font>
      <x:sz val="11"/>
      <x:color rgb="FF0563C1"/>
      <x:name val="Carlito"/>
    </x:font>
    <x:font>
      <x:b/>
      <x:sz val="11"/>
      <x:color rgb="FF2E7D32"/>
      <x:name val="Carlito"/>
    </x:font>
    <x:font>
      <x:b/>
      <x:sz val="11"/>
      <x:color rgb="FFC00000"/>
      <x:name val="Carlito"/>
    </x:font>
    <x:font>
      <x:b/>
      <x:sz val="10"/>
      <x:color rgb="FFFFFFFF"/>
      <x:name val="Aptos"/>
    </x:font>
    <x:font>
      <x:i/>
      <x:sz val="10"/>
      <x:color rgb="FF16324F"/>
      <x:name val="Aptos"/>
    </x:font>
    <x:font>
      <x:b/>
      <x:sz val="10"/>
      <x:color rgb="FF0563C1"/>
      <x:name val="Aptos"/>
    </x:font>
    <x:font>
      <x:sz val="10"/>
      <x:name val="Aptos"/>
    </x:font>
    <x:font>
      <x:i/>
      <x:sz val="10"/>
      <x:color rgb="FF2E7D32"/>
      <x:name val="Aptos"/>
    </x:font>
    <x:font>
      <x:sz val="10"/>
      <x:color rgb="FF0563C1"/>
      <x:name val="Aptos"/>
    </x:font>
    <x:font>
      <x:b/>
      <x:sz val="10"/>
      <x:color rgb="FF2E7D32"/>
      <x:name val="Aptos"/>
    </x:font>
    <x:font>
      <x:b/>
      <x:sz val="10"/>
      <x:color rgb="FFC00000"/>
      <x:name val="Aptos"/>
    </x:font>
    <x:font>
      <x:b/>
      <x:sz val="10"/>
      <x:color rgb="FFFFFFFF"/>
      <x:name val="Aptos Display"/>
    </x:font>
    <x:font>
      <x:i/>
      <x:sz val="10"/>
      <x:color rgb="FF16324F"/>
      <x:name val="Aptos Display"/>
    </x:font>
    <x:font>
      <x:i/>
      <x:sz val="10"/>
      <x:color rgb="FFFFFFFF"/>
      <x:name val="Aptos Display"/>
    </x:font>
    <x:font>
      <x:b/>
      <x:sz val="11"/>
      <x:name val="Carlito"/>
    </x:font>
    <x:font>
      <x:b/>
      <x:sz val="11"/>
      <x:color rgb="FFC58A00"/>
      <x:name val="Carlito"/>
    </x:font>
    <x:font>
      <x:sz val="11"/>
      <x:color rgb="FF2E7D32"/>
      <x:name val="Carlito"/>
    </x:font>
    <x:font>
      <x:b/>
      <x:sz val="14"/>
      <x:color rgb="FF16324F"/>
      <x:name val="Carlito"/>
    </x:font>
    <x:font>
      <x:b/>
      <x:sz val="11"/>
      <x:color rgb="FF16324F"/>
      <x:name val="Carlito"/>
    </x:font>
    <x:font>
      <x:sz val="11"/>
      <x:color rgb="FF666666"/>
      <x:name val="Carlito"/>
    </x:font>
    <x:font>
      <x:b/>
      <x:sz val="14"/>
      <x:color rgb="FFFFFFFF"/>
      <x:name val="Carlito"/>
    </x:font>
    <x:font>
      <x:sz val="11"/>
      <x:color rgb="FFC00000"/>
      <x:name val="Carlito"/>
    </x:font>
    <x:font>
      <x:b/>
      <x:sz val="18"/>
      <x:color rgb="FF16324F"/>
      <x:name val="Carlito"/>
    </x:font>
    <x:font>
      <x:b/>
      <x:sz val="20"/>
      <x:color rgb="FF16324F"/>
      <x:name val="Carlito"/>
    </x:font>
    <x:font>
      <x:i/>
      <x:sz val="11"/>
      <x:color rgb="FFC58A00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16324F"/>
      <x:name val="Aptos"/>
    </x:font>
    <x:font>
      <x:b/>
      <x:sz val="20"/>
      <x:color rgb="FF16324F"/>
      <x:name val="Aptos"/>
    </x:font>
    <x:font>
      <x:b/>
      <x:sz val="11"/>
      <x:color rgb="FF2E7D32"/>
      <x:name val="Aptos"/>
    </x:font>
    <x:font>
      <x:i/>
      <x:sz val="11"/>
      <x:color rgb="FFC58A00"/>
      <x:name val="Aptos"/>
    </x:font>
    <x:font>
      <x:b/>
      <x:sz val="10"/>
      <x:color rgb="FF16324F"/>
      <x:name val="Aptos"/>
    </x:font>
    <x:font>
      <x:i/>
      <x:sz val="10"/>
      <x:color rgb="FFC58A00"/>
      <x:name val="Aptos"/>
    </x:font>
    <x:font>
      <x:sz val="11"/>
      <x:color rgb="FF2E7D32"/>
      <x:name val="Aptos"/>
    </x:font>
    <x:font>
      <x:b/>
      <x:sz val="11"/>
      <x:name val="Aptos"/>
    </x:font>
    <x:font>
      <x:b/>
      <x:sz val="11"/>
      <x:color rgb="FFC58A00"/>
      <x:name val="Aptos"/>
    </x:font>
    <x:font>
      <x:sz val="10"/>
      <x:color rgb="FF2E7D32"/>
      <x:name val="Aptos"/>
    </x:font>
    <x:font>
      <x:b/>
      <x:sz val="10"/>
      <x:name val="Aptos"/>
    </x:font>
    <x:font>
      <x:b/>
      <x:sz val="10"/>
      <x:color rgb="FFC58A00"/>
      <x:name val="Aptos"/>
    </x:font>
    <x:font>
      <x:b/>
      <x:sz val="14"/>
      <x:color rgb="FF16324F"/>
      <x:name val="Aptos"/>
    </x:font>
    <x:font>
      <x:i/>
      <x:sz val="11"/>
      <x:color rgb="FF2E7D32"/>
      <x:name val="Aptos"/>
    </x:font>
    <x:font>
      <x:b/>
      <x:sz val="11"/>
      <x:color rgb="FF16324F"/>
      <x:name val="Aptos"/>
    </x:font>
    <x:font>
      <x:sz val="11"/>
      <x:color rgb="FF666666"/>
      <x:name val="Aptos"/>
    </x:font>
    <x:font>
      <x:sz val="10"/>
      <x:color rgb="FF666666"/>
      <x:name val="Aptos"/>
    </x:font>
    <x:font>
      <x:b/>
      <x:sz val="14"/>
      <x:color rgb="FFFFFFFF"/>
      <x:name val="Aptos"/>
    </x:font>
    <x:font>
      <x:sz val="11"/>
      <x:color rgb="FFC00000"/>
      <x:name val="Aptos"/>
    </x:font>
    <x:font>
      <x:sz val="10"/>
      <x:color rgb="FFC00000"/>
      <x:name val="Aptos"/>
    </x:font>
    <x:font>
      <x:sz val="10"/>
      <x:color rgb="FFC62828"/>
      <x:name val="Aptos"/>
    </x:font>
    <x:font>
      <x:sz val="11"/>
      <x:color rgb="FF202124"/>
      <x:name val="Carlito"/>
    </x:font>
    <x:font>
      <x:i/>
      <x:sz val="11"/>
      <x:color rgb="FF16324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202124"/>
      <x:name val="Carlito"/>
    </x:font>
    <x:font>
      <x:b/>
      <x:sz val="11"/>
      <x:color rgb="FF008000"/>
      <x:name val="Carlito"/>
    </x:font>
    <x:font>
      <x:sz val="11"/>
      <x:color rgb="FF667085"/>
      <x:name val="Carlito"/>
    </x:font>
    <x:font>
      <x:b/>
      <x:sz val="11"/>
      <x:color rgb="FF2F75B5"/>
      <x:name val="Carlito"/>
    </x:font>
    <x:font>
      <x:b/>
      <x:sz val="11"/>
      <x:color rgb="FFED7D31"/>
      <x:name val="Carlito"/>
    </x:font>
    <x:font>
      <x:b/>
      <x:sz val="11"/>
      <x:color rgb="FF7E57C2"/>
      <x:name val="Carlito"/>
    </x:font>
    <x:font>
      <x:sz val="11"/>
      <x:color rgb="FF16324F"/>
      <x:name val="Carlito"/>
    </x:font>
    <x:font>
      <x:i/>
      <x:sz val="11"/>
      <x:color rgb="FF7F6000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16324F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0F8F3"/>
      </x:patternFill>
    </x:fill>
    <x:fill>
      <x:patternFill patternType="solid">
        <x:fgColor rgb="FFF6F8FB"/>
      </x:patternFill>
    </x:fill>
    <x:fill>
      <x:patternFill patternType="solid">
        <x:fgColor rgb="FFFCE4D6"/>
      </x:patternFill>
    </x:fill>
    <x:fill>
      <x:patternFill patternType="solid">
        <x:fgColor rgb="FFEDE7F6"/>
      </x:patternFill>
    </x:fill>
    <x:fill>
      <x:patternFill patternType="solid">
        <x:fgColor rgb="FFEEF7F1"/>
      </x:patternFill>
    </x:fill>
    <x:fill>
      <x:patternFill patternType="solid">
        <x:fgColor rgb="FFEEF4FB"/>
      </x:patternFill>
    </x:fill>
    <x:fill>
      <x:patternFill patternType="solid">
        <x:fgColor rgb="FFFFF7ED"/>
      </x:patternFill>
    </x:fill>
    <x:fill>
      <x:patternFill patternType="solid">
        <x:fgColor rgb="FFF5F1FA"/>
      </x:patternFill>
    </x:fill>
  </x:fills>
  <x:borders count="19">
    <x:border/>
    <x:border>
      <x:bottom style="thin">
        <x:color rgb="FF16324F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1F4E78"/>
      </x:bottom>
    </x:border>
    <x:border>
      <x:left style="thin">
        <x:color rgb="FFD5DEE8"/>
      </x:left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  <x:bottom style="thin">
        <x:color rgb="FFD5DEE8"/>
      </x:bottom>
    </x:border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5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right"/>
    </x:xf>
    <x:xf numFmtId="0" fontId="7" fillId="6" borderId="0" xfId="0" applyNumberFormat="1" applyFont="1" applyFill="1" applyBorder="1"/>
    <x:xf numFmtId="200" fontId="6" fillId="5" borderId="0" xfId="0" applyNumberFormat="1" applyFont="1" applyFill="1" applyBorder="1" applyAlignment="1">
      <x:alignment horizontal="right"/>
    </x:xf>
    <x:xf numFmtId="200" fontId="7" fillId="6" borderId="0" xfId="0" applyNumberFormat="1" applyFont="1" applyFill="1" applyBorder="1"/>
    <x:xf numFmtId="201" fontId="6" fillId="5" borderId="0" xfId="0" applyNumberFormat="1" applyFont="1" applyFill="1" applyBorder="1" applyAlignment="1">
      <x:alignment horizontal="right"/>
    </x:xf>
    <x:xf numFmtId="202" fontId="6" fillId="5" borderId="0" xfId="0" applyNumberFormat="1" applyFont="1" applyFill="1" applyBorder="1" applyAlignment="1">
      <x:alignment horizontal="right"/>
    </x:xf>
    <x:xf numFmtId="202" fontId="7" fillId="6" borderId="0" xfId="0" applyNumberFormat="1" applyFont="1" applyFill="1" applyBorder="1"/>
    <x:xf numFmtId="203" fontId="6" fillId="5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6" fillId="5" borderId="0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wrapText="1"/>
    </x:xf>
    <x:xf numFmtId="202" fontId="6" fillId="5" borderId="0" xfId="0" applyNumberFormat="1" applyFont="1" applyFill="1" applyBorder="1" applyAlignment="1">
      <x:alignment horizontal="right" wrapText="1"/>
    </x:xf>
    <x:xf numFmtId="202" fontId="7" fillId="6" borderId="0" xfId="0" applyNumberFormat="1" applyFont="1" applyFill="1" applyBorder="1" applyAlignment="1">
      <x:alignment wrapText="1"/>
    </x:xf>
    <x:xf numFmtId="203" fontId="6" fillId="5" borderId="0" xfId="0" applyNumberFormat="1" applyFont="1" applyFill="1" applyBorder="1" applyAlignment="1">
      <x:alignment horizontal="right" wrapText="1"/>
    </x:xf>
    <x:xf numFmtId="0" fontId="3" fillId="7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horizontal="right" vertical="center" wrapText="1"/>
    </x:xf>
    <x:xf numFmtId="202" fontId="7" fillId="6" borderId="0" xfId="0" applyNumberFormat="1" applyFont="1" applyFill="1" applyBorder="1" applyAlignment="1">
      <x:alignment vertical="center" wrapText="1"/>
    </x:xf>
    <x:xf numFmtId="203" fontId="6" fillId="5" borderId="0" xfId="0" applyNumberFormat="1" applyFont="1" applyFill="1" applyBorder="1" applyAlignment="1">
      <x:alignment horizontal="right" vertical="center" wrapText="1"/>
    </x:xf>
    <x:xf numFmtId="200" fontId="6" fillId="5" borderId="0" xfId="0" applyNumberFormat="1" applyFont="1" applyFill="1" applyBorder="1" applyAlignment="1">
      <x:alignment horizontal="right"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1" fontId="14" fillId="5" borderId="0" xfId="0" applyNumberFormat="1" applyFont="1" applyFill="1" applyBorder="1" applyAlignment="1">
      <x:alignment horizontal="right"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202" fontId="14" fillId="5" borderId="0" xfId="0" applyNumberFormat="1" applyFont="1" applyFill="1" applyBorder="1" applyAlignment="1">
      <x:alignment horizontal="right" vertical="center" wrapText="1"/>
    </x:xf>
    <x:xf numFmtId="202" fontId="15" fillId="6" borderId="0" xfId="0" applyNumberFormat="1" applyFont="1" applyFill="1" applyBorder="1" applyAlignment="1">
      <x:alignment vertical="center" wrapText="1"/>
    </x:xf>
    <x:xf numFmtId="203" fontId="14" fillId="5" borderId="0" xfId="0" applyNumberFormat="1" applyFont="1" applyFill="1" applyBorder="1" applyAlignment="1">
      <x:alignment horizontal="right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14" fillId="5" borderId="0" xfId="0" applyNumberFormat="1" applyFont="1" applyFill="1" applyBorder="1" applyAlignment="1">
      <x:alignment horizontal="right" vertical="center" wrapText="1"/>
    </x:xf>
    <x:xf numFmtId="0" fontId="16" fillId="8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horizontal="left" vertical="center"/>
    </x:xf>
    <x:xf numFmtId="0" fontId="18" fillId="3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6" fontId="0" fillId="0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20" fillId="0" borderId="0" xfId="0" applyNumberFormat="1" applyFont="1" applyFill="1" applyBorder="1"/>
    <x:xf numFmtId="202" fontId="20" fillId="0" borderId="0" xfId="0" applyNumberFormat="1" applyFont="1" applyFill="1" applyBorder="1"/>
    <x:xf numFmtId="202" fontId="20" fillId="6" borderId="0" xfId="0" applyNumberFormat="1" applyFont="1" applyFill="1" applyBorder="1"/>
    <x:xf numFmtId="203" fontId="20" fillId="6" borderId="0" xfId="0" applyNumberFormat="1" applyFont="1" applyFill="1" applyBorder="1"/>
    <x:xf numFmtId="203" fontId="20" fillId="0" borderId="0" xfId="0" applyNumberFormat="1" applyFont="1" applyFill="1" applyBorder="1"/>
    <x:xf numFmtId="202" fontId="0" fillId="5" borderId="0" xfId="0" applyNumberFormat="1" applyFont="1" applyFill="1" applyBorder="1"/>
    <x:xf numFmtId="0" fontId="21" fillId="5" borderId="0" xfId="0" applyNumberFormat="1" applyFont="1" applyFill="1" applyBorder="1"/>
    <x:xf numFmtId="202" fontId="21" fillId="5" borderId="0" xfId="0" applyNumberFormat="1" applyFont="1" applyFill="1" applyBorder="1"/>
    <x:xf numFmtId="204" fontId="22" fillId="0" borderId="0" xfId="0" applyNumberFormat="1" applyFont="1" applyFill="1" applyBorder="1"/>
    <x:xf numFmtId="202" fontId="22" fillId="0" borderId="0" xfId="0" applyNumberFormat="1" applyFont="1" applyFill="1" applyBorder="1"/>
    <x:xf numFmtId="205" fontId="22" fillId="0" borderId="0" xfId="0" applyNumberFormat="1" applyFont="1" applyFill="1" applyBorder="1"/>
    <x:xf numFmtId="201" fontId="22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3" fontId="22" fillId="0" borderId="0" xfId="0" applyNumberFormat="1" applyFont="1" applyFill="1" applyBorder="1"/>
    <x:xf numFmtId="203" fontId="7" fillId="6" borderId="0" xfId="0" applyNumberFormat="1" applyFont="1" applyFill="1" applyBorder="1"/>
    <x:xf numFmtId="204" fontId="22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22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5" fontId="22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1" fontId="22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2" fontId="20" fillId="6" borderId="0" xfId="0" applyNumberFormat="1" applyFont="1" applyFill="1" applyBorder="1" applyAlignment="1">
      <x:alignment wrapText="1"/>
    </x:xf>
    <x:xf numFmtId="203" fontId="20" fillId="6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203" fontId="7" fillId="6" borderId="0" xfId="0" applyNumberFormat="1" applyFont="1" applyFill="1" applyBorder="1" applyAlignment="1">
      <x:alignment wrapText="1"/>
    </x:xf>
    <x:xf numFmtId="203" fontId="22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 applyAlignment="1">
      <x:alignment wrapText="1"/>
    </x:xf>
    <x:xf numFmtId="202" fontId="21" fillId="5" borderId="0" xfId="0" applyNumberFormat="1" applyFont="1" applyFill="1" applyBorder="1" applyAlignment="1">
      <x:alignment wrapText="1"/>
    </x:xf>
    <x:xf numFmtId="204" fontId="22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2" fontId="22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5" fontId="22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1" fontId="2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20" fillId="6" borderId="0" xfId="0" applyNumberFormat="1" applyFont="1" applyFill="1" applyBorder="1" applyAlignment="1">
      <x:alignment vertical="center" wrapText="1"/>
    </x:xf>
    <x:xf numFmtId="203" fontId="20" fillId="6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7" fillId="6" borderId="0" xfId="0" applyNumberFormat="1" applyFont="1" applyFill="1" applyBorder="1" applyAlignment="1">
      <x:alignment vertical="center" wrapText="1"/>
    </x:xf>
    <x:xf numFmtId="203" fontId="22" fillId="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202" fontId="21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23" fillId="3" borderId="2" xfId="0" applyNumberFormat="1" applyFont="1" applyFill="1" applyBorder="1" applyAlignment="1">
      <x:alignment horizontal="center"/>
    </x:xf>
    <x:xf numFmtId="0" fontId="23" fillId="3" borderId="3" xfId="0" applyNumberFormat="1" applyFont="1" applyFill="1" applyBorder="1" applyAlignment="1">
      <x:alignment horizontal="center"/>
    </x:xf>
    <x:xf numFmtId="0" fontId="23" fillId="3" borderId="4" xfId="0" applyNumberFormat="1" applyFont="1" applyFill="1" applyBorder="1" applyAlignment="1">
      <x:alignment horizontal="center"/>
    </x:xf>
    <x:xf numFmtId="207" fontId="23" fillId="3" borderId="2" xfId="0" applyNumberFormat="1" applyFont="1" applyFill="1" applyBorder="1" applyAlignment="1">
      <x:alignment horizontal="center"/>
    </x:xf>
    <x:xf numFmtId="207" fontId="23" fillId="3" borderId="3" xfId="0" applyNumberFormat="1" applyFont="1" applyFill="1" applyBorder="1" applyAlignment="1">
      <x:alignment horizontal="center"/>
    </x:xf>
    <x:xf numFmtId="207" fontId="23" fillId="3" borderId="4" xfId="0" applyNumberFormat="1" applyFont="1" applyFill="1" applyBorder="1" applyAlignment="1">
      <x:alignment horizontal="center"/>
    </x:xf>
    <x:xf numFmtId="208" fontId="23" fillId="3" borderId="2" xfId="0" applyNumberFormat="1" applyFont="1" applyFill="1" applyBorder="1" applyAlignment="1">
      <x:alignment horizontal="center"/>
    </x:xf>
    <x:xf numFmtId="208" fontId="23" fillId="3" borderId="3" xfId="0" applyNumberFormat="1" applyFont="1" applyFill="1" applyBorder="1" applyAlignment="1">
      <x:alignment horizontal="center"/>
    </x:xf>
    <x:xf numFmtId="208" fontId="23" fillId="3" borderId="4" xfId="0" applyNumberFormat="1" applyFont="1" applyFill="1" applyBorder="1" applyAlignment="1">
      <x:alignment horizontal="center"/>
    </x:xf>
    <x:xf numFmtId="0" fontId="24" fillId="3" borderId="2" xfId="0" applyNumberFormat="1" applyFont="1" applyFill="1" applyBorder="1"/>
    <x:xf numFmtId="0" fontId="24" fillId="3" borderId="4" xfId="0" applyNumberFormat="1" applyFont="1" applyFill="1" applyBorder="1"/>
    <x:xf numFmtId="0" fontId="24" fillId="0" borderId="0" xfId="0" applyNumberFormat="1" applyFont="1" applyFill="1" applyBorder="1"/>
    <x:xf numFmtId="207" fontId="24" fillId="3" borderId="4" xfId="0" applyNumberFormat="1" applyFont="1" applyFill="1" applyBorder="1"/>
    <x:xf numFmtId="207" fontId="24" fillId="0" borderId="0" xfId="0" applyNumberFormat="1" applyFont="1" applyFill="1" applyBorder="1"/>
    <x:xf numFmtId="207" fontId="24" fillId="3" borderId="2" xfId="0" applyNumberFormat="1" applyFont="1" applyFill="1" applyBorder="1"/>
    <x:xf numFmtId="209" fontId="3" fillId="7" borderId="1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25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vertical="center" wrapText="1"/>
    </x:xf>
    <x:xf numFmtId="0" fontId="26" fillId="2" borderId="0" xfId="0" applyNumberFormat="1" applyFont="1" applyFill="1" applyBorder="1"/>
    <x:xf numFmtId="0" fontId="26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27" fillId="8" borderId="0" xfId="0" applyNumberFormat="1" applyFont="1" applyFill="1" applyBorder="1"/>
    <x:xf numFmtId="0" fontId="27" fillId="8" borderId="0" xfId="0" applyNumberFormat="1" applyFont="1" applyFill="1" applyBorder="1" applyAlignment="1">
      <x:alignment wrapText="1"/>
    </x:xf>
    <x:xf numFmtId="0" fontId="27" fillId="8" borderId="0" xfId="0" applyNumberFormat="1" applyFont="1" applyFill="1" applyBorder="1" applyAlignment="1">
      <x:alignment vertical="center" wrapText="1"/>
    </x:xf>
    <x:xf numFmtId="0" fontId="28" fillId="3" borderId="0" xfId="0" applyNumberFormat="1" applyFont="1" applyFill="1" applyBorder="1"/>
    <x:xf numFmtId="0" fontId="28" fillId="3" borderId="5" xfId="0" applyNumberFormat="1" applyFont="1" applyFill="1" applyBorder="1"/>
    <x:xf numFmtId="0" fontId="28" fillId="3" borderId="0" xfId="0" applyNumberFormat="1" applyFont="1" applyFill="1" applyBorder="1" applyAlignment="1">
      <x:alignment horizontal="center"/>
    </x:xf>
    <x:xf numFmtId="0" fontId="28" fillId="3" borderId="5" xfId="0" applyNumberFormat="1" applyFont="1" applyFill="1" applyBorder="1" applyAlignment="1">
      <x:alignment horizontal="center"/>
    </x:xf>
    <x:xf numFmtId="0" fontId="28" fillId="3" borderId="0" xfId="0" applyNumberFormat="1" applyFont="1" applyFill="1" applyBorder="1" applyAlignment="1">
      <x:alignment horizontal="center" vertical="center"/>
    </x:xf>
    <x:xf numFmtId="0" fontId="28" fillId="3" borderId="5" xfId="0" applyNumberFormat="1" applyFont="1" applyFill="1" applyBorder="1" applyAlignment="1">
      <x:alignment horizontal="center" vertical="center"/>
    </x:xf>
    <x:xf numFmtId="0" fontId="29" fillId="3" borderId="0" xfId="0" applyNumberFormat="1" applyFont="1" applyFill="1" applyBorder="1"/>
    <x:xf numFmtId="0" fontId="29" fillId="3" borderId="5" xfId="0" applyNumberFormat="1" applyFont="1" applyFill="1" applyBorder="1"/>
    <x:xf numFmtId="0" fontId="29" fillId="3" borderId="0" xfId="0" applyNumberFormat="1" applyFont="1" applyFill="1" applyBorder="1" applyAlignment="1">
      <x:alignment horizontal="center"/>
    </x:xf>
    <x:xf numFmtId="0" fontId="29" fillId="3" borderId="5" xfId="0" applyNumberFormat="1" applyFont="1" applyFill="1" applyBorder="1" applyAlignment="1">
      <x:alignment horizontal="center"/>
    </x:xf>
    <x:xf numFmtId="0" fontId="29" fillId="3" borderId="0" xfId="0" applyNumberFormat="1" applyFont="1" applyFill="1" applyBorder="1" applyAlignment="1">
      <x:alignment horizontal="center" vertical="center"/>
    </x:xf>
    <x:xf numFmtId="0" fontId="29" fillId="3" borderId="5" xfId="0" applyNumberFormat="1" applyFont="1" applyFill="1" applyBorder="1" applyAlignment="1">
      <x:alignment horizontal="center" vertical="center"/>
    </x:xf>
    <x:xf numFmtId="207" fontId="29" fillId="3" borderId="0" xfId="0" applyNumberFormat="1" applyFont="1" applyFill="1" applyBorder="1" applyAlignment="1">
      <x:alignment horizontal="center" vertical="center"/>
    </x:xf>
    <x:xf numFmtId="207" fontId="29" fillId="3" borderId="5" xfId="0" applyNumberFormat="1" applyFont="1" applyFill="1" applyBorder="1" applyAlignment="1">
      <x:alignment horizontal="center" vertical="center"/>
    </x:xf>
    <x:xf numFmtId="208" fontId="29" fillId="3" borderId="0" xfId="0" applyNumberFormat="1" applyFont="1" applyFill="1" applyBorder="1" applyAlignment="1">
      <x:alignment horizontal="center" vertical="center"/>
    </x:xf>
    <x:xf numFmtId="208" fontId="29" fillId="3" borderId="5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  <x:xf numFmtId="207" fontId="0" fillId="6" borderId="0" xfId="0" applyNumberFormat="1" applyFont="1" applyFill="1" applyBorder="1"/>
    <x:xf numFmtId="207" fontId="7" fillId="6" borderId="0" xfId="0" applyNumberFormat="1" applyFont="1" applyFill="1" applyBorder="1"/>
    <x:xf numFmtId="0" fontId="30" fillId="5" borderId="0" xfId="0" applyNumberFormat="1" applyFont="1" applyFill="1" applyBorder="1"/>
    <x:xf numFmtId="0" fontId="30" fillId="5" borderId="0" xfId="0" applyNumberFormat="1" applyFont="1" applyFill="1" applyBorder="1" applyAlignment="1">
      <x:alignment wrapText="1"/>
    </x:xf>
    <x:xf numFmtId="0" fontId="30" fillId="5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wrapText="1"/>
    </x:xf>
    <x:xf numFmtId="207" fontId="7" fillId="6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0" fontId="31" fillId="2" borderId="0" xfId="0" applyNumberFormat="1" applyFont="1" applyFill="1" applyBorder="1" applyAlignment="1">
      <x:alignment horizontal="left" vertical="center"/>
    </x:xf>
    <x:xf numFmtId="0" fontId="32" fillId="0" borderId="0" xfId="0" applyNumberFormat="1" applyFont="1" applyFill="1" applyBorder="1"/>
    <x:xf numFmtId="0" fontId="33" fillId="7" borderId="0" xfId="0" applyNumberFormat="1" applyFont="1" applyFill="1" applyBorder="1" applyAlignment="1">
      <x:alignment horizontal="center" vertical="center"/>
    </x:xf>
    <x:xf numFmtId="0" fontId="34" fillId="3" borderId="0" xfId="0" applyNumberFormat="1" applyFont="1" applyFill="1" applyBorder="1" applyAlignment="1">
      <x:alignment horizontal="center" vertical="center"/>
    </x:xf>
    <x:xf numFmtId="207" fontId="35" fillId="3" borderId="0" xfId="0" applyNumberFormat="1" applyFont="1" applyFill="1" applyBorder="1" applyAlignment="1">
      <x:alignment horizontal="center" vertical="center"/>
    </x:xf>
    <x:xf numFmtId="208" fontId="35" fillId="3" borderId="0" xfId="0" applyNumberFormat="1" applyFont="1" applyFill="1" applyBorder="1" applyAlignment="1">
      <x:alignment horizontal="center" vertical="center"/>
    </x:xf>
    <x:xf numFmtId="0" fontId="34" fillId="3" borderId="5" xfId="0" applyNumberFormat="1" applyFont="1" applyFill="1" applyBorder="1" applyAlignment="1">
      <x:alignment horizontal="center" vertical="center"/>
    </x:xf>
    <x:xf numFmtId="207" fontId="35" fillId="3" borderId="5" xfId="0" applyNumberFormat="1" applyFont="1" applyFill="1" applyBorder="1" applyAlignment="1">
      <x:alignment horizontal="center" vertical="center"/>
    </x:xf>
    <x:xf numFmtId="208" fontId="35" fillId="3" borderId="5" xfId="0" applyNumberFormat="1" applyFont="1" applyFill="1" applyBorder="1" applyAlignment="1">
      <x:alignment horizontal="center" vertical="center"/>
    </x:xf>
    <x:xf numFmtId="0" fontId="33" fillId="7" borderId="0" xfId="0" applyNumberFormat="1" applyFont="1" applyFill="1" applyBorder="1" applyAlignment="1">
      <x:alignment vertical="center"/>
    </x:xf>
    <x:xf numFmtId="0" fontId="33" fillId="7" borderId="1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wrapText="1"/>
    </x:xf>
    <x:xf numFmtId="207" fontId="32" fillId="0" borderId="0" xfId="0" applyNumberFormat="1" applyFont="1" applyFill="1" applyBorder="1" applyAlignment="1">
      <x:alignment wrapText="1"/>
    </x:xf>
    <x:xf numFmtId="0" fontId="36" fillId="6" borderId="0" xfId="0" applyNumberFormat="1" applyFont="1" applyFill="1" applyBorder="1" applyAlignment="1">
      <x:alignment wrapText="1"/>
    </x:xf>
    <x:xf numFmtId="207" fontId="36" fillId="6" borderId="0" xfId="0" applyNumberFormat="1" applyFont="1" applyFill="1" applyBorder="1" applyAlignment="1">
      <x:alignment wrapText="1"/>
    </x:xf>
    <x:xf numFmtId="203" fontId="36" fillId="6" borderId="0" xfId="0" applyNumberFormat="1" applyFont="1" applyFill="1" applyBorder="1" applyAlignment="1">
      <x:alignment wrapText="1"/>
    </x:xf>
    <x:xf numFmtId="0" fontId="33" fillId="7" borderId="0" xfId="0" applyNumberFormat="1" applyFont="1" applyFill="1" applyBorder="1" applyAlignment="1">
      <x:alignment vertical="center" wrapText="1"/>
    </x:xf>
    <x:xf numFmtId="204" fontId="32" fillId="0" borderId="0" xfId="0" applyNumberFormat="1" applyFont="1" applyFill="1" applyBorder="1" applyAlignment="1">
      <x:alignment wrapText="1"/>
    </x:xf>
    <x:xf numFmtId="203" fontId="32" fillId="0" borderId="0" xfId="0" applyNumberFormat="1" applyFont="1" applyFill="1" applyBorder="1" applyAlignment="1">
      <x:alignment wrapText="1"/>
    </x:xf>
    <x:xf numFmtId="208" fontId="32" fillId="0" borderId="0" xfId="0" applyNumberFormat="1" applyFont="1" applyFill="1" applyBorder="1" applyAlignment="1">
      <x:alignment wrapText="1"/>
    </x:xf>
    <x:xf numFmtId="0" fontId="36" fillId="6" borderId="0" xfId="0" applyNumberFormat="1" applyFont="1" applyFill="1" applyBorder="1" applyAlignment="1">
      <x:alignment vertical="center" wrapText="1"/>
    </x:xf>
    <x:xf numFmtId="0" fontId="37" fillId="5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/>
    </x:xf>
    <x:xf numFmtId="0" fontId="38" fillId="3" borderId="0" xfId="0" applyNumberFormat="1" applyFont="1" applyFill="1" applyBorder="1" applyAlignment="1">
      <x:alignment horizontal="center" vertical="center"/>
    </x:xf>
    <x:xf numFmtId="207" fontId="38" fillId="3" borderId="0" xfId="0" applyNumberFormat="1" applyFont="1" applyFill="1" applyBorder="1" applyAlignment="1">
      <x:alignment horizontal="center" vertical="center"/>
    </x:xf>
    <x:xf numFmtId="208" fontId="38" fillId="3" borderId="0" xfId="0" applyNumberFormat="1" applyFont="1" applyFill="1" applyBorder="1" applyAlignment="1">
      <x:alignment horizontal="center" vertical="center"/>
    </x:xf>
    <x:xf numFmtId="0" fontId="38" fillId="3" borderId="5" xfId="0" applyNumberFormat="1" applyFont="1" applyFill="1" applyBorder="1" applyAlignment="1">
      <x:alignment horizontal="center" vertical="center"/>
    </x:xf>
    <x:xf numFmtId="207" fontId="38" fillId="3" borderId="5" xfId="0" applyNumberFormat="1" applyFont="1" applyFill="1" applyBorder="1" applyAlignment="1">
      <x:alignment horizontal="center" vertical="center"/>
    </x:xf>
    <x:xf numFmtId="208" fontId="38" fillId="3" borderId="5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wrapText="1"/>
    </x:xf>
    <x:xf numFmtId="207" fontId="12" fillId="0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wrapText="1"/>
    </x:xf>
    <x:xf numFmtId="207" fontId="15" fillId="6" borderId="0" xfId="0" applyNumberFormat="1" applyFont="1" applyFill="1" applyBorder="1" applyAlignment="1">
      <x:alignment wrapText="1"/>
    </x:xf>
    <x:xf numFmtId="203" fontId="15" fillId="6" borderId="0" xfId="0" applyNumberFormat="1" applyFont="1" applyFill="1" applyBorder="1" applyAlignment="1">
      <x:alignment wrapText="1"/>
    </x:xf>
    <x:xf numFmtId="204" fontId="12" fillId="0" borderId="0" xfId="0" applyNumberFormat="1" applyFont="1" applyFill="1" applyBorder="1" applyAlignment="1">
      <x:alignment wrapText="1"/>
    </x:xf>
    <x:xf numFmtId="203" fontId="12" fillId="0" borderId="0" xfId="0" applyNumberFormat="1" applyFont="1" applyFill="1" applyBorder="1" applyAlignment="1">
      <x:alignment wrapText="1"/>
    </x:xf>
    <x:xf numFmtId="208" fontId="12" fillId="0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0" fontId="39" fillId="5" borderId="0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 applyAlignment="1">
      <x:alignment vertical="center" wrapText="1"/>
    </x:xf>
    <x:xf numFmtId="204" fontId="40" fillId="0" borderId="0" xfId="0" applyNumberFormat="1" applyFont="1" applyFill="1" applyBorder="1" applyAlignment="1">
      <x:alignment vertical="center" wrapText="1"/>
    </x:xf>
    <x:xf numFmtId="204" fontId="32" fillId="0" borderId="0" xfId="0" applyNumberFormat="1" applyFont="1" applyFill="1" applyBorder="1" applyAlignment="1">
      <x:alignment vertical="center" wrapText="1"/>
    </x:xf>
    <x:xf numFmtId="203" fontId="32" fillId="0" borderId="0" xfId="0" applyNumberFormat="1" applyFont="1" applyFill="1" applyBorder="1" applyAlignment="1">
      <x:alignment vertical="center" wrapText="1"/>
    </x:xf>
    <x:xf numFmtId="202" fontId="40" fillId="0" borderId="0" xfId="0" applyNumberFormat="1" applyFont="1" applyFill="1" applyBorder="1" applyAlignment="1">
      <x:alignment vertical="center" wrapText="1"/>
    </x:xf>
    <x:xf numFmtId="202" fontId="32" fillId="0" borderId="0" xfId="0" applyNumberFormat="1" applyFont="1" applyFill="1" applyBorder="1" applyAlignment="1">
      <x:alignment vertical="center" wrapText="1"/>
    </x:xf>
    <x:xf numFmtId="205" fontId="40" fillId="0" borderId="0" xfId="0" applyNumberFormat="1" applyFont="1" applyFill="1" applyBorder="1" applyAlignment="1">
      <x:alignment vertical="center" wrapText="1"/>
    </x:xf>
    <x:xf numFmtId="205" fontId="32" fillId="0" borderId="0" xfId="0" applyNumberFormat="1" applyFont="1" applyFill="1" applyBorder="1" applyAlignment="1">
      <x:alignment vertical="center" wrapText="1"/>
    </x:xf>
    <x:xf numFmtId="201" fontId="40" fillId="0" borderId="0" xfId="0" applyNumberFormat="1" applyFont="1" applyFill="1" applyBorder="1" applyAlignment="1">
      <x:alignment vertical="center" wrapText="1"/>
    </x:xf>
    <x:xf numFmtId="201" fontId="32" fillId="0" borderId="0" xfId="0" applyNumberFormat="1" applyFont="1" applyFill="1" applyBorder="1" applyAlignment="1">
      <x:alignment vertical="center" wrapText="1"/>
    </x:xf>
    <x:xf numFmtId="0" fontId="41" fillId="0" borderId="0" xfId="0" applyNumberFormat="1" applyFont="1" applyFill="1" applyBorder="1" applyAlignment="1">
      <x:alignment vertical="center" wrapText="1"/>
    </x:xf>
    <x:xf numFmtId="202" fontId="36" fillId="0" borderId="0" xfId="0" applyNumberFormat="1" applyFont="1" applyFill="1" applyBorder="1" applyAlignment="1">
      <x:alignment vertical="center" wrapText="1"/>
    </x:xf>
    <x:xf numFmtId="202" fontId="41" fillId="6" borderId="0" xfId="0" applyNumberFormat="1" applyFont="1" applyFill="1" applyBorder="1" applyAlignment="1">
      <x:alignment vertical="center" wrapText="1"/>
    </x:xf>
    <x:xf numFmtId="203" fontId="41" fillId="6" borderId="0" xfId="0" applyNumberFormat="1" applyFont="1" applyFill="1" applyBorder="1" applyAlignment="1">
      <x:alignment vertical="center" wrapText="1"/>
    </x:xf>
    <x:xf numFmtId="202" fontId="36" fillId="6" borderId="0" xfId="0" applyNumberFormat="1" applyFont="1" applyFill="1" applyBorder="1" applyAlignment="1">
      <x:alignment vertical="center" wrapText="1"/>
    </x:xf>
    <x:xf numFmtId="203" fontId="36" fillId="0" borderId="0" xfId="0" applyNumberFormat="1" applyFont="1" applyFill="1" applyBorder="1" applyAlignment="1">
      <x:alignment vertical="center" wrapText="1"/>
    </x:xf>
    <x:xf numFmtId="203" fontId="36" fillId="6" borderId="0" xfId="0" applyNumberFormat="1" applyFont="1" applyFill="1" applyBorder="1" applyAlignment="1">
      <x:alignment vertical="center" wrapText="1"/>
    </x:xf>
    <x:xf numFmtId="203" fontId="40" fillId="0" borderId="0" xfId="0" applyNumberFormat="1" applyFont="1" applyFill="1" applyBorder="1" applyAlignment="1">
      <x:alignment vertical="center" wrapText="1"/>
    </x:xf>
    <x:xf numFmtId="206" fontId="32" fillId="0" borderId="0" xfId="0" applyNumberFormat="1" applyFont="1" applyFill="1" applyBorder="1" applyAlignment="1">
      <x:alignment vertical="center" wrapText="1"/>
    </x:xf>
    <x:xf numFmtId="0" fontId="42" fillId="5" borderId="0" xfId="0" applyNumberFormat="1" applyFont="1" applyFill="1" applyBorder="1" applyAlignment="1">
      <x:alignment vertical="center" wrapText="1"/>
    </x:xf>
    <x:xf numFmtId="202" fontId="42" fillId="5" borderId="0" xfId="0" applyNumberFormat="1" applyFont="1" applyFill="1" applyBorder="1" applyAlignment="1">
      <x:alignment vertical="center" wrapText="1"/>
    </x:xf>
    <x:xf numFmtId="204" fontId="43" fillId="0" borderId="0" xfId="0" applyNumberFormat="1" applyFont="1" applyFill="1" applyBorder="1" applyAlignment="1">
      <x:alignment vertical="center" wrapText="1"/>
    </x:xf>
    <x:xf numFmtId="204" fontId="12" fillId="0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202" fontId="43" fillId="0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center" wrapText="1"/>
    </x:xf>
    <x:xf numFmtId="205" fontId="43" fillId="0" borderId="0" xfId="0" applyNumberFormat="1" applyFont="1" applyFill="1" applyBorder="1" applyAlignment="1">
      <x:alignment vertical="center" wrapText="1"/>
    </x:xf>
    <x:xf numFmtId="205" fontId="12" fillId="0" borderId="0" xfId="0" applyNumberFormat="1" applyFont="1" applyFill="1" applyBorder="1" applyAlignment="1">
      <x:alignment vertical="center" wrapText="1"/>
    </x:xf>
    <x:xf numFmtId="201" fontId="43" fillId="0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 wrapText="1"/>
    </x:xf>
    <x:xf numFmtId="0" fontId="44" fillId="0" borderId="0" xfId="0" applyNumberFormat="1" applyFont="1" applyFill="1" applyBorder="1" applyAlignment="1">
      <x:alignment vertical="center" wrapText="1"/>
    </x:xf>
    <x:xf numFmtId="202" fontId="15" fillId="0" borderId="0" xfId="0" applyNumberFormat="1" applyFont="1" applyFill="1" applyBorder="1" applyAlignment="1">
      <x:alignment vertical="center" wrapText="1"/>
    </x:xf>
    <x:xf numFmtId="202" fontId="44" fillId="6" borderId="0" xfId="0" applyNumberFormat="1" applyFont="1" applyFill="1" applyBorder="1" applyAlignment="1">
      <x:alignment vertical="center" wrapText="1"/>
    </x:xf>
    <x:xf numFmtId="203" fontId="44" fillId="6" borderId="0" xfId="0" applyNumberFormat="1" applyFont="1" applyFill="1" applyBorder="1" applyAlignment="1">
      <x:alignment vertical="center" wrapText="1"/>
    </x:xf>
    <x:xf numFmtId="203" fontId="15" fillId="0" borderId="0" xfId="0" applyNumberFormat="1" applyFont="1" applyFill="1" applyBorder="1" applyAlignment="1">
      <x:alignment vertical="center" wrapText="1"/>
    </x:xf>
    <x:xf numFmtId="203" fontId="15" fillId="6" borderId="0" xfId="0" applyNumberFormat="1" applyFont="1" applyFill="1" applyBorder="1" applyAlignment="1">
      <x:alignment vertical="center" wrapText="1"/>
    </x:xf>
    <x:xf numFmtId="203" fontId="43" fillId="0" borderId="0" xfId="0" applyNumberFormat="1" applyFont="1" applyFill="1" applyBorder="1" applyAlignment="1">
      <x:alignment vertical="center" wrapText="1"/>
    </x:xf>
    <x:xf numFmtId="206" fontId="12" fillId="0" borderId="0" xfId="0" applyNumberFormat="1" applyFont="1" applyFill="1" applyBorder="1" applyAlignment="1">
      <x:alignment vertical="center" wrapText="1"/>
    </x:xf>
    <x:xf numFmtId="0" fontId="45" fillId="5" borderId="0" xfId="0" applyNumberFormat="1" applyFont="1" applyFill="1" applyBorder="1" applyAlignment="1">
      <x:alignment vertical="center" wrapText="1"/>
    </x:xf>
    <x:xf numFmtId="202" fontId="45" fillId="5" borderId="0" xfId="0" applyNumberFormat="1" applyFont="1" applyFill="1" applyBorder="1" applyAlignment="1">
      <x:alignment vertical="center" wrapText="1"/>
    </x:xf>
    <x:xf numFmtId="0" fontId="46" fillId="3" borderId="2" xfId="0" applyNumberFormat="1" applyFont="1" applyFill="1" applyBorder="1" applyAlignment="1">
      <x:alignment horizontal="center"/>
    </x:xf>
    <x:xf numFmtId="0" fontId="46" fillId="3" borderId="3" xfId="0" applyNumberFormat="1" applyFont="1" applyFill="1" applyBorder="1" applyAlignment="1">
      <x:alignment horizontal="center"/>
    </x:xf>
    <x:xf numFmtId="0" fontId="46" fillId="3" borderId="4" xfId="0" applyNumberFormat="1" applyFont="1" applyFill="1" applyBorder="1" applyAlignment="1">
      <x:alignment horizontal="center"/>
    </x:xf>
    <x:xf numFmtId="207" fontId="46" fillId="3" borderId="2" xfId="0" applyNumberFormat="1" applyFont="1" applyFill="1" applyBorder="1" applyAlignment="1">
      <x:alignment horizontal="center"/>
    </x:xf>
    <x:xf numFmtId="207" fontId="46" fillId="3" borderId="3" xfId="0" applyNumberFormat="1" applyFont="1" applyFill="1" applyBorder="1" applyAlignment="1">
      <x:alignment horizontal="center"/>
    </x:xf>
    <x:xf numFmtId="207" fontId="46" fillId="3" borderId="4" xfId="0" applyNumberFormat="1" applyFont="1" applyFill="1" applyBorder="1" applyAlignment="1">
      <x:alignment horizontal="center"/>
    </x:xf>
    <x:xf numFmtId="208" fontId="46" fillId="3" borderId="2" xfId="0" applyNumberFormat="1" applyFont="1" applyFill="1" applyBorder="1" applyAlignment="1">
      <x:alignment horizontal="center"/>
    </x:xf>
    <x:xf numFmtId="208" fontId="46" fillId="3" borderId="3" xfId="0" applyNumberFormat="1" applyFont="1" applyFill="1" applyBorder="1" applyAlignment="1">
      <x:alignment horizontal="center"/>
    </x:xf>
    <x:xf numFmtId="208" fontId="46" fillId="3" borderId="4" xfId="0" applyNumberFormat="1" applyFont="1" applyFill="1" applyBorder="1" applyAlignment="1">
      <x:alignment horizontal="center"/>
    </x:xf>
    <x:xf numFmtId="0" fontId="47" fillId="6" borderId="0" xfId="0" applyNumberFormat="1" applyFont="1" applyFill="1" applyBorder="1" applyAlignment="1">
      <x:alignment wrapText="1"/>
    </x:xf>
    <x:xf numFmtId="202" fontId="32" fillId="0" borderId="0" xfId="0" applyNumberFormat="1" applyFont="1" applyFill="1" applyBorder="1" applyAlignment="1">
      <x:alignment wrapText="1"/>
    </x:xf>
    <x:xf numFmtId="201" fontId="32" fillId="0" borderId="0" xfId="0" applyNumberFormat="1" applyFont="1" applyFill="1" applyBorder="1" applyAlignment="1">
      <x:alignment wrapText="1"/>
    </x:xf>
    <x:xf numFmtId="0" fontId="38" fillId="3" borderId="2" xfId="0" applyNumberFormat="1" applyFont="1" applyFill="1" applyBorder="1" applyAlignment="1">
      <x:alignment horizontal="center"/>
    </x:xf>
    <x:xf numFmtId="0" fontId="38" fillId="3" borderId="3" xfId="0" applyNumberFormat="1" applyFont="1" applyFill="1" applyBorder="1" applyAlignment="1">
      <x:alignment horizontal="center"/>
    </x:xf>
    <x:xf numFmtId="0" fontId="38" fillId="3" borderId="4" xfId="0" applyNumberFormat="1" applyFont="1" applyFill="1" applyBorder="1" applyAlignment="1">
      <x:alignment horizontal="center"/>
    </x:xf>
    <x:xf numFmtId="207" fontId="38" fillId="3" borderId="2" xfId="0" applyNumberFormat="1" applyFont="1" applyFill="1" applyBorder="1" applyAlignment="1">
      <x:alignment horizontal="center"/>
    </x:xf>
    <x:xf numFmtId="207" fontId="38" fillId="3" borderId="3" xfId="0" applyNumberFormat="1" applyFont="1" applyFill="1" applyBorder="1" applyAlignment="1">
      <x:alignment horizontal="center"/>
    </x:xf>
    <x:xf numFmtId="207" fontId="38" fillId="3" borderId="4" xfId="0" applyNumberFormat="1" applyFont="1" applyFill="1" applyBorder="1" applyAlignment="1">
      <x:alignment horizontal="center"/>
    </x:xf>
    <x:xf numFmtId="208" fontId="38" fillId="3" borderId="2" xfId="0" applyNumberFormat="1" applyFont="1" applyFill="1" applyBorder="1" applyAlignment="1">
      <x:alignment horizontal="center"/>
    </x:xf>
    <x:xf numFmtId="208" fontId="38" fillId="3" borderId="3" xfId="0" applyNumberFormat="1" applyFont="1" applyFill="1" applyBorder="1" applyAlignment="1">
      <x:alignment horizontal="center"/>
    </x:xf>
    <x:xf numFmtId="208" fontId="38" fillId="3" borderId="4" xfId="0" applyNumberFormat="1" applyFont="1" applyFill="1" applyBorder="1" applyAlignment="1">
      <x:alignment horizontal="center"/>
    </x:xf>
    <x:xf numFmtId="202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0" fontId="48" fillId="3" borderId="2" xfId="0" applyNumberFormat="1" applyFont="1" applyFill="1" applyBorder="1"/>
    <x:xf numFmtId="0" fontId="48" fillId="3" borderId="4" xfId="0" applyNumberFormat="1" applyFont="1" applyFill="1" applyBorder="1"/>
    <x:xf numFmtId="0" fontId="48" fillId="0" borderId="0" xfId="0" applyNumberFormat="1" applyFont="1" applyFill="1" applyBorder="1"/>
    <x:xf numFmtId="207" fontId="48" fillId="3" borderId="4" xfId="0" applyNumberFormat="1" applyFont="1" applyFill="1" applyBorder="1"/>
    <x:xf numFmtId="207" fontId="48" fillId="0" borderId="0" xfId="0" applyNumberFormat="1" applyFont="1" applyFill="1" applyBorder="1"/>
    <x:xf numFmtId="207" fontId="48" fillId="3" borderId="2" xfId="0" applyNumberFormat="1" applyFont="1" applyFill="1" applyBorder="1"/>
    <x:xf numFmtId="209" fontId="33" fillId="7" borderId="1" xfId="0" applyNumberFormat="1" applyFont="1" applyFill="1" applyBorder="1" applyAlignment="1">
      <x:alignment horizontal="center" vertical="center" wrapText="1"/>
    </x:xf>
    <x:xf numFmtId="203" fontId="32" fillId="0" borderId="0" xfId="0" applyNumberFormat="1" applyFont="1" applyFill="1" applyBorder="1"/>
    <x:xf numFmtId="208" fontId="32" fillId="0" borderId="0" xfId="0" applyNumberFormat="1" applyFont="1" applyFill="1" applyBorder="1"/>
    <x:xf numFmtId="0" fontId="49" fillId="9" borderId="0" xfId="0" applyNumberFormat="1" applyFont="1" applyFill="1" applyBorder="1" applyAlignment="1">
      <x:alignment vertical="center" wrapText="1"/>
    </x:xf>
    <x:xf numFmtId="0" fontId="38" fillId="3" borderId="2" xfId="0" applyNumberFormat="1" applyFont="1" applyFill="1" applyBorder="1"/>
    <x:xf numFmtId="0" fontId="38" fillId="3" borderId="4" xfId="0" applyNumberFormat="1" applyFont="1" applyFill="1" applyBorder="1"/>
    <x:xf numFmtId="0" fontId="38" fillId="0" borderId="0" xfId="0" applyNumberFormat="1" applyFont="1" applyFill="1" applyBorder="1"/>
    <x:xf numFmtId="207" fontId="38" fillId="3" borderId="4" xfId="0" applyNumberFormat="1" applyFont="1" applyFill="1" applyBorder="1"/>
    <x:xf numFmtId="207" fontId="38" fillId="0" borderId="0" xfId="0" applyNumberFormat="1" applyFont="1" applyFill="1" applyBorder="1"/>
    <x:xf numFmtId="207" fontId="38" fillId="3" borderId="2" xfId="0" applyNumberFormat="1" applyFont="1" applyFill="1" applyBorder="1"/>
    <x:xf numFmtId="209" fontId="9" fillId="7" borderId="1" xfId="0" applyNumberFormat="1" applyFont="1" applyFill="1" applyBorder="1" applyAlignment="1">
      <x:alignment horizontal="center" vertical="center" wrapText="1"/>
    </x:xf>
    <x:xf numFmtId="203" fontId="12" fillId="0" borderId="0" xfId="0" applyNumberFormat="1" applyFont="1" applyFill="1" applyBorder="1"/>
    <x:xf numFmtId="208" fontId="12" fillId="0" borderId="0" xfId="0" applyNumberFormat="1" applyFont="1" applyFill="1" applyBorder="1"/>
    <x:xf numFmtId="0" fontId="50" fillId="9" borderId="0" xfId="0" applyNumberFormat="1" applyFont="1" applyFill="1" applyBorder="1" applyAlignment="1">
      <x:alignment vertical="center" wrapText="1"/>
    </x:xf>
    <x:xf numFmtId="0" fontId="51" fillId="2" borderId="0" xfId="0" applyNumberFormat="1" applyFont="1" applyFill="1" applyBorder="1" applyAlignment="1">
      <x:alignment horizontal="center"/>
    </x:xf>
    <x:xf numFmtId="200" fontId="32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/>
    </x:xf>
    <x:xf numFmtId="200" fontId="12" fillId="0" borderId="0" xfId="0" applyNumberFormat="1" applyFont="1" applyFill="1" applyBorder="1" applyAlignment="1">
      <x:alignment wrapText="1"/>
    </x:xf>
    <x:xf numFmtId="0" fontId="32" fillId="0" borderId="0" xfId="0" applyNumberFormat="1" applyFont="1" applyFill="1" applyBorder="1" applyAlignment="1">
      <x:alignment vertical="top" wrapText="1"/>
    </x:xf>
    <x:xf numFmtId="0" fontId="52" fillId="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53" fillId="8" borderId="0" xfId="0" applyNumberFormat="1" applyFont="1" applyFill="1" applyBorder="1" applyAlignment="1">
      <x:alignment vertical="center" wrapText="1"/>
    </x:xf>
    <x:xf numFmtId="210" fontId="14" fillId="5" borderId="0" xfId="0" applyNumberFormat="1" applyFont="1" applyFill="1" applyBorder="1" applyAlignment="1">
      <x:alignment horizontal="right" vertical="center" wrapText="1"/>
    </x:xf>
    <x:xf numFmtId="0" fontId="54" fillId="0" borderId="0" xfId="0" applyNumberFormat="1" applyFont="1" applyFill="1" applyBorder="1"/>
    <x:xf numFmtId="0" fontId="54" fillId="0" borderId="0" xfId="0" applyNumberFormat="1" applyFont="1" applyFill="1" applyBorder="1" applyAlignment="1">
      <x:alignment wrapText="1"/>
    </x:xf>
    <x:xf numFmtId="0" fontId="55" fillId="0" borderId="0" xfId="0" applyNumberFormat="1" applyFont="1" applyFill="1" applyBorder="1"/>
    <x:xf numFmtId="0" fontId="55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55" fillId="11" borderId="0" xfId="0" applyNumberFormat="1" applyFont="1" applyFill="1" applyBorder="1"/>
    <x:xf numFmtId="0" fontId="56" fillId="11" borderId="0" xfId="0" applyNumberFormat="1" applyFont="1" applyFill="1" applyBorder="1"/>
    <x:xf numFmtId="0" fontId="56" fillId="11" borderId="0" xfId="0" applyNumberFormat="1" applyFont="1" applyFill="1" applyBorder="1" applyAlignment="1">
      <x:alignment wrapText="1"/>
    </x:xf>
    <x:xf numFmtId="0" fontId="24" fillId="11" borderId="0" xfId="0" applyNumberFormat="1" applyFont="1" applyFill="1" applyBorder="1"/>
    <x:xf numFmtId="0" fontId="55" fillId="12" borderId="0" xfId="0" applyNumberFormat="1" applyFont="1" applyFill="1" applyBorder="1"/>
    <x:xf numFmtId="0" fontId="57" fillId="12" borderId="0" xfId="0" applyNumberFormat="1" applyFont="1" applyFill="1" applyBorder="1"/>
    <x:xf numFmtId="210" fontId="57" fillId="12" borderId="0" xfId="0" applyNumberFormat="1" applyFont="1" applyFill="1" applyBorder="1"/>
    <x:xf numFmtId="0" fontId="55" fillId="13" borderId="0" xfId="0" applyNumberFormat="1" applyFont="1" applyFill="1" applyBorder="1"/>
    <x:xf numFmtId="0" fontId="58" fillId="13" borderId="0" xfId="0" applyNumberFormat="1" applyFont="1" applyFill="1" applyBorder="1"/>
    <x:xf numFmtId="210" fontId="58" fillId="13" borderId="0" xfId="0" applyNumberFormat="1" applyFont="1" applyFill="1" applyBorder="1"/>
    <x:xf numFmtId="211" fontId="58" fillId="13" borderId="0" xfId="0" applyNumberFormat="1" applyFont="1" applyFill="1" applyBorder="1"/>
    <x:xf numFmtId="0" fontId="24" fillId="11" borderId="6" xfId="0" applyNumberFormat="1" applyFont="1" applyFill="1" applyBorder="1"/>
    <x:xf numFmtId="210" fontId="57" fillId="12" borderId="7" xfId="0" applyNumberFormat="1" applyFont="1" applyFill="1" applyBorder="1"/>
    <x:xf numFmtId="0" fontId="24" fillId="11" borderId="8" xfId="0" applyNumberFormat="1" applyFont="1" applyFill="1" applyBorder="1"/>
    <x:xf numFmtId="210" fontId="57" fillId="12" borderId="9" xfId="0" applyNumberFormat="1" applyFont="1" applyFill="1" applyBorder="1"/>
    <x:xf numFmtId="210" fontId="58" fillId="13" borderId="9" xfId="0" applyNumberFormat="1" applyFont="1" applyFill="1" applyBorder="1"/>
    <x:xf numFmtId="0" fontId="24" fillId="11" borderId="10" xfId="0" applyNumberFormat="1" applyFont="1" applyFill="1" applyBorder="1"/>
    <x:xf numFmtId="211" fontId="58" fillId="13" borderId="11" xfId="0" applyNumberFormat="1" applyFont="1" applyFill="1" applyBorder="1"/>
    <x:xf numFmtId="0" fontId="55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55" fillId="15" borderId="0" xfId="0" applyNumberFormat="1" applyFont="1" applyFill="1" applyBorder="1"/>
    <x:xf numFmtId="0" fontId="3" fillId="15" borderId="0" xfId="0" applyNumberFormat="1" applyFont="1" applyFill="1" applyBorder="1"/>
    <x:xf numFmtId="212" fontId="55" fillId="0" borderId="0" xfId="0" applyNumberFormat="1" applyFont="1" applyFill="1" applyBorder="1"/>
    <x:xf numFmtId="213" fontId="55" fillId="0" borderId="0" xfId="0" applyNumberFormat="1" applyFont="1" applyFill="1" applyBorder="1"/>
    <x:xf numFmtId="0" fontId="55" fillId="0" borderId="12" xfId="0" applyNumberFormat="1" applyFont="1" applyFill="1" applyBorder="1"/>
    <x:xf numFmtId="212" fontId="55" fillId="0" borderId="12" xfId="0" applyNumberFormat="1" applyFont="1" applyFill="1" applyBorder="1"/>
    <x:xf numFmtId="213" fontId="55" fillId="0" borderId="12" xfId="0" applyNumberFormat="1" applyFont="1" applyFill="1" applyBorder="1"/>
    <x:xf numFmtId="0" fontId="55" fillId="0" borderId="13" xfId="0" applyNumberFormat="1" applyFont="1" applyFill="1" applyBorder="1"/>
    <x:xf numFmtId="212" fontId="55" fillId="0" borderId="13" xfId="0" applyNumberFormat="1" applyFont="1" applyFill="1" applyBorder="1"/>
    <x:xf numFmtId="213" fontId="55" fillId="0" borderId="13" xfId="0" applyNumberFormat="1" applyFont="1" applyFill="1" applyBorder="1"/>
    <x:xf numFmtId="0" fontId="55" fillId="0" borderId="14" xfId="0" applyNumberFormat="1" applyFont="1" applyFill="1" applyBorder="1"/>
    <x:xf numFmtId="212" fontId="55" fillId="0" borderId="14" xfId="0" applyNumberFormat="1" applyFont="1" applyFill="1" applyBorder="1"/>
    <x:xf numFmtId="213" fontId="55" fillId="0" borderId="14" xfId="0" applyNumberFormat="1" applyFont="1" applyFill="1" applyBorder="1"/>
    <x:xf numFmtId="0" fontId="58" fillId="0" borderId="12" xfId="0" applyNumberFormat="1" applyFont="1" applyFill="1" applyBorder="1"/>
    <x:xf numFmtId="212" fontId="58" fillId="0" borderId="12" xfId="0" applyNumberFormat="1" applyFont="1" applyFill="1" applyBorder="1"/>
    <x:xf numFmtId="0" fontId="58" fillId="0" borderId="13" xfId="0" applyNumberFormat="1" applyFont="1" applyFill="1" applyBorder="1"/>
    <x:xf numFmtId="212" fontId="58" fillId="0" borderId="13" xfId="0" applyNumberFormat="1" applyFont="1" applyFill="1" applyBorder="1"/>
    <x:xf numFmtId="0" fontId="58" fillId="0" borderId="14" xfId="0" applyNumberFormat="1" applyFont="1" applyFill="1" applyBorder="1"/>
    <x:xf numFmtId="212" fontId="58" fillId="0" borderId="14" xfId="0" applyNumberFormat="1" applyFont="1" applyFill="1" applyBorder="1"/>
    <x:xf numFmtId="212" fontId="55" fillId="16" borderId="12" xfId="0" applyNumberFormat="1" applyFont="1" applyFill="1" applyBorder="1"/>
    <x:xf numFmtId="212" fontId="55" fillId="16" borderId="13" xfId="0" applyNumberFormat="1" applyFont="1" applyFill="1" applyBorder="1"/>
    <x:xf numFmtId="212" fontId="55" fillId="16" borderId="14" xfId="0" applyNumberFormat="1" applyFont="1" applyFill="1" applyBorder="1"/>
    <x:xf numFmtId="0" fontId="55" fillId="11" borderId="13" xfId="0" applyNumberFormat="1" applyFont="1" applyFill="1" applyBorder="1"/>
    <x:xf numFmtId="0" fontId="58" fillId="11" borderId="13" xfId="0" applyNumberFormat="1" applyFont="1" applyFill="1" applyBorder="1"/>
    <x:xf numFmtId="212" fontId="58" fillId="11" borderId="13" xfId="0" applyNumberFormat="1" applyFont="1" applyFill="1" applyBorder="1"/>
    <x:xf numFmtId="212" fontId="55" fillId="11" borderId="13" xfId="0" applyNumberFormat="1" applyFont="1" applyFill="1" applyBorder="1"/>
    <x:xf numFmtId="213" fontId="55" fillId="11" borderId="13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55" fillId="0" borderId="15" xfId="0" applyNumberFormat="1" applyFont="1" applyFill="1" applyBorder="1"/>
    <x:xf numFmtId="0" fontId="55" fillId="0" borderId="16" xfId="0" applyNumberFormat="1" applyFont="1" applyFill="1" applyBorder="1"/>
    <x:xf numFmtId="212" fontId="55" fillId="0" borderId="15" xfId="0" applyNumberFormat="1" applyFont="1" applyFill="1" applyBorder="1"/>
    <x:xf numFmtId="212" fontId="55" fillId="0" borderId="16" xfId="0" applyNumberFormat="1" applyFont="1" applyFill="1" applyBorder="1"/>
    <x:xf numFmtId="214" fontId="55" fillId="0" borderId="16" xfId="0" applyNumberFormat="1" applyFont="1" applyFill="1" applyBorder="1"/>
    <x:xf numFmtId="210" fontId="55" fillId="0" borderId="16" xfId="0" applyNumberFormat="1" applyFont="1" applyFill="1" applyBorder="1"/>
    <x:xf numFmtId="215" fontId="55" fillId="0" borderId="16" xfId="0" applyNumberFormat="1" applyFont="1" applyFill="1" applyBorder="1"/>
    <x:xf numFmtId="212" fontId="58" fillId="0" borderId="15" xfId="0" applyNumberFormat="1" applyFont="1" applyFill="1" applyBorder="1"/>
    <x:xf numFmtId="212" fontId="58" fillId="0" borderId="16" xfId="0" applyNumberFormat="1" applyFont="1" applyFill="1" applyBorder="1"/>
    <x:xf numFmtId="214" fontId="58" fillId="0" borderId="16" xfId="0" applyNumberFormat="1" applyFont="1" applyFill="1" applyBorder="1"/>
    <x:xf numFmtId="210" fontId="58" fillId="0" borderId="16" xfId="0" applyNumberFormat="1" applyFont="1" applyFill="1" applyBorder="1"/>
    <x:xf numFmtId="215" fontId="58" fillId="0" borderId="16" xfId="0" applyNumberFormat="1" applyFont="1" applyFill="1" applyBorder="1"/>
    <x:xf numFmtId="210" fontId="3" fillId="14" borderId="0" xfId="0" applyNumberFormat="1" applyFont="1" applyFill="1" applyBorder="1"/>
    <x:xf numFmtId="0" fontId="59" fillId="11" borderId="0" xfId="0" applyNumberFormat="1" applyFont="1" applyFill="1" applyBorder="1"/>
    <x:xf numFmtId="210" fontId="59" fillId="11" borderId="0" xfId="0" applyNumberFormat="1" applyFont="1" applyFill="1" applyBorder="1"/>
    <x:xf numFmtId="216" fontId="55" fillId="0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210" fontId="55" fillId="0" borderId="0" xfId="0" applyNumberFormat="1" applyFont="1" applyFill="1" applyBorder="1"/>
    <x:xf numFmtId="0" fontId="0" fillId="17" borderId="0" xfId="0" applyNumberFormat="1" applyFont="1" applyFill="1" applyBorder="1"/>
    <x:xf numFmtId="0" fontId="55" fillId="17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60" fillId="12" borderId="0" xfId="0" applyNumberFormat="1" applyFont="1" applyFill="1" applyBorder="1"/>
    <x:xf numFmtId="0" fontId="60" fillId="12" borderId="0" xfId="0" applyNumberFormat="1" applyFont="1" applyFill="1" applyBorder="1" applyAlignment="1">
      <x:alignment horizontal="center"/>
    </x:xf>
    <x:xf numFmtId="0" fontId="60" fillId="13" borderId="0" xfId="0" applyNumberFormat="1" applyFont="1" applyFill="1" applyBorder="1"/>
    <x:xf numFmtId="210" fontId="60" fillId="13" borderId="0" xfId="0" applyNumberFormat="1" applyFont="1" applyFill="1" applyBorder="1"/>
    <x:xf numFmtId="210" fontId="60" fillId="13" borderId="0" xfId="0" applyNumberFormat="1" applyFont="1" applyFill="1" applyBorder="1" applyAlignment="1">
      <x:alignment horizontal="center"/>
    </x:xf>
    <x:xf numFmtId="0" fontId="56" fillId="11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horizontal="left"/>
    </x:xf>
    <x:xf numFmtId="0" fontId="7" fillId="13" borderId="0" xfId="0" applyNumberFormat="1" applyFont="1" applyFill="1" applyBorder="1" applyAlignment="1">
      <x:alignment horizontal="left" vertical="center"/>
    </x:xf>
    <x:xf numFmtId="0" fontId="59" fillId="13" borderId="0" xfId="0" applyNumberFormat="1" applyFont="1" applyFill="1" applyBorder="1"/>
    <x:xf numFmtId="216" fontId="59" fillId="13" borderId="0" xfId="0" applyNumberFormat="1" applyFont="1" applyFill="1" applyBorder="1"/>
    <x:xf numFmtId="216" fontId="59" fillId="13" borderId="0" xfId="0" applyNumberFormat="1" applyFont="1" applyFill="1" applyBorder="1" applyAlignment="1">
      <x:alignment horizontal="left"/>
    </x:xf>
    <x:xf numFmtId="216" fontId="59" fillId="13" borderId="0" xfId="0" applyNumberFormat="1" applyFont="1" applyFill="1" applyBorder="1" applyAlignment="1">
      <x:alignment horizontal="left" vertical="center"/>
    </x:xf>
    <x:xf numFmtId="0" fontId="61" fillId="13" borderId="0" xfId="0" applyNumberFormat="1" applyFont="1" applyFill="1" applyBorder="1"/>
    <x:xf numFmtId="0" fontId="61" fillId="13" borderId="0" xfId="0" applyNumberFormat="1" applyFont="1" applyFill="1" applyBorder="1" applyAlignment="1">
      <x:alignment wrapText="1"/>
    </x:xf>
    <x:xf numFmtId="0" fontId="61" fillId="13" borderId="0" xfId="0" applyNumberFormat="1" applyFont="1" applyFill="1" applyBorder="1" applyAlignment="1">
      <x:alignment horizontal="left" wrapText="1"/>
    </x:xf>
    <x:xf numFmtId="0" fontId="61" fillId="13" borderId="0" xfId="0" applyNumberFormat="1" applyFont="1" applyFill="1" applyBorder="1" applyAlignment="1">
      <x:alignment horizontal="left" vertical="center" wrapText="1"/>
    </x:xf>
    <x:xf numFmtId="0" fontId="7" fillId="13" borderId="6" xfId="0" applyNumberFormat="1" applyFont="1" applyFill="1" applyBorder="1" applyAlignment="1">
      <x:alignment horizontal="left" vertical="center"/>
    </x:xf>
    <x:xf numFmtId="0" fontId="7" fillId="13" borderId="17" xfId="0" applyNumberFormat="1" applyFont="1" applyFill="1" applyBorder="1" applyAlignment="1">
      <x:alignment horizontal="left" vertical="center"/>
    </x:xf>
    <x:xf numFmtId="0" fontId="7" fillId="13" borderId="7" xfId="0" applyNumberFormat="1" applyFont="1" applyFill="1" applyBorder="1" applyAlignment="1">
      <x:alignment horizontal="left" vertical="center"/>
    </x:xf>
    <x:xf numFmtId="216" fontId="59" fillId="13" borderId="8" xfId="0" applyNumberFormat="1" applyFont="1" applyFill="1" applyBorder="1" applyAlignment="1">
      <x:alignment horizontal="left" vertical="center"/>
    </x:xf>
    <x:xf numFmtId="216" fontId="59" fillId="13" xfId="0" applyNumberFormat="1" applyFont="1" applyFill="1" applyBorder="0" applyAlignment="1">
      <x:alignment horizontal="left" vertical="center"/>
    </x:xf>
    <x:xf numFmtId="216" fontId="59" fillId="13" borderId="9" xfId="0" applyNumberFormat="1" applyFont="1" applyFill="1" applyBorder="1" applyAlignment="1">
      <x:alignment horizontal="left" vertical="center"/>
    </x:xf>
    <x:xf numFmtId="0" fontId="61" fillId="13" borderId="10" xfId="0" applyNumberFormat="1" applyFont="1" applyFill="1" applyBorder="1" applyAlignment="1">
      <x:alignment horizontal="left" vertical="center" wrapText="1"/>
    </x:xf>
    <x:xf numFmtId="0" fontId="61" fillId="13" borderId="15" xfId="0" applyNumberFormat="1" applyFont="1" applyFill="1" applyBorder="1" applyAlignment="1">
      <x:alignment horizontal="left" vertical="center" wrapText="1"/>
    </x:xf>
    <x:xf numFmtId="0" fontId="61" fillId="13" borderId="11" xfId="0" applyNumberFormat="1" applyFont="1" applyFill="1" applyBorder="1" applyAlignment="1">
      <x:alignment horizontal="left" vertical="center" wrapText="1"/>
    </x:xf>
    <x:xf numFmtId="0" fontId="62" fillId="11" borderId="0" xfId="0" applyNumberFormat="1" applyFont="1" applyFill="1" applyBorder="1"/>
    <x:xf numFmtId="0" fontId="62" fillId="11" borderId="0" xfId="0" applyNumberFormat="1" applyFont="1" applyFill="1" applyBorder="1" applyAlignment="1">
      <x:alignment horizontal="left"/>
    </x:xf>
    <x:xf numFmtId="0" fontId="62" fillId="11" borderId="0" xfId="0" applyNumberFormat="1" applyFont="1" applyFill="1" applyBorder="1" applyAlignment="1">
      <x:alignment horizontal="left" vertical="center"/>
    </x:xf>
    <x:xf numFmtId="214" fontId="59" fillId="11" borderId="0" xfId="0" applyNumberFormat="1" applyFont="1" applyFill="1" applyBorder="1"/>
    <x:xf numFmtId="214" fontId="59" fillId="11" borderId="0" xfId="0" applyNumberFormat="1" applyFont="1" applyFill="1" applyBorder="1" applyAlignment="1">
      <x:alignment horizontal="left"/>
    </x:xf>
    <x:xf numFmtId="214" fontId="59" fillId="11" borderId="0" xfId="0" applyNumberFormat="1" applyFont="1" applyFill="1" applyBorder="1" applyAlignment="1">
      <x:alignment horizontal="left" vertical="center"/>
    </x:xf>
    <x:xf numFmtId="0" fontId="61" fillId="11" borderId="0" xfId="0" applyNumberFormat="1" applyFont="1" applyFill="1" applyBorder="1"/>
    <x:xf numFmtId="0" fontId="61" fillId="11" borderId="0" xfId="0" applyNumberFormat="1" applyFont="1" applyFill="1" applyBorder="1" applyAlignment="1">
      <x:alignment wrapText="1"/>
    </x:xf>
    <x:xf numFmtId="0" fontId="61" fillId="11" borderId="0" xfId="0" applyNumberFormat="1" applyFont="1" applyFill="1" applyBorder="1" applyAlignment="1">
      <x:alignment horizontal="left" wrapText="1"/>
    </x:xf>
    <x:xf numFmtId="0" fontId="61" fillId="11" borderId="0" xfId="0" applyNumberFormat="1" applyFont="1" applyFill="1" applyBorder="1" applyAlignment="1">
      <x:alignment horizontal="left" vertical="center" wrapText="1"/>
    </x:xf>
    <x:xf numFmtId="0" fontId="62" fillId="11" borderId="6" xfId="0" applyNumberFormat="1" applyFont="1" applyFill="1" applyBorder="1" applyAlignment="1">
      <x:alignment horizontal="left" vertical="center"/>
    </x:xf>
    <x:xf numFmtId="0" fontId="62" fillId="11" borderId="17" xfId="0" applyNumberFormat="1" applyFont="1" applyFill="1" applyBorder="1" applyAlignment="1">
      <x:alignment horizontal="left" vertical="center"/>
    </x:xf>
    <x:xf numFmtId="0" fontId="62" fillId="11" borderId="7" xfId="0" applyNumberFormat="1" applyFont="1" applyFill="1" applyBorder="1" applyAlignment="1">
      <x:alignment horizontal="left" vertical="center"/>
    </x:xf>
    <x:xf numFmtId="214" fontId="59" fillId="11" borderId="8" xfId="0" applyNumberFormat="1" applyFont="1" applyFill="1" applyBorder="1" applyAlignment="1">
      <x:alignment horizontal="left" vertical="center"/>
    </x:xf>
    <x:xf numFmtId="214" fontId="59" fillId="11" xfId="0" applyNumberFormat="1" applyFont="1" applyFill="1" applyBorder="0" applyAlignment="1">
      <x:alignment horizontal="left" vertical="center"/>
    </x:xf>
    <x:xf numFmtId="214" fontId="59" fillId="11" borderId="9" xfId="0" applyNumberFormat="1" applyFont="1" applyFill="1" applyBorder="1" applyAlignment="1">
      <x:alignment horizontal="left" vertical="center"/>
    </x:xf>
    <x:xf numFmtId="0" fontId="61" fillId="11" borderId="10" xfId="0" applyNumberFormat="1" applyFont="1" applyFill="1" applyBorder="1" applyAlignment="1">
      <x:alignment horizontal="left" vertical="center" wrapText="1"/>
    </x:xf>
    <x:xf numFmtId="0" fontId="61" fillId="11" borderId="15" xfId="0" applyNumberFormat="1" applyFont="1" applyFill="1" applyBorder="1" applyAlignment="1">
      <x:alignment horizontal="left" vertical="center" wrapText="1"/>
    </x:xf>
    <x:xf numFmtId="0" fontId="61" fillId="11" borderId="11" xfId="0" applyNumberFormat="1" applyFont="1" applyFill="1" applyBorder="1" applyAlignment="1">
      <x:alignment horizontal="left" vertical="center" wrapText="1"/>
    </x:xf>
    <x:xf numFmtId="0" fontId="55" fillId="18" borderId="0" xfId="0" applyNumberFormat="1" applyFont="1" applyFill="1" applyBorder="1"/>
    <x:xf numFmtId="0" fontId="63" fillId="18" borderId="0" xfId="0" applyNumberFormat="1" applyFont="1" applyFill="1" applyBorder="1"/>
    <x:xf numFmtId="0" fontId="63" fillId="18" borderId="0" xfId="0" applyNumberFormat="1" applyFont="1" applyFill="1" applyBorder="1" applyAlignment="1">
      <x:alignment horizontal="left"/>
    </x:xf>
    <x:xf numFmtId="0" fontId="63" fillId="18" borderId="0" xfId="0" applyNumberFormat="1" applyFont="1" applyFill="1" applyBorder="1" applyAlignment="1">
      <x:alignment horizontal="left" vertical="center"/>
    </x:xf>
    <x:xf numFmtId="0" fontId="59" fillId="18" borderId="0" xfId="0" applyNumberFormat="1" applyFont="1" applyFill="1" applyBorder="1"/>
    <x:xf numFmtId="215" fontId="59" fillId="18" borderId="0" xfId="0" applyNumberFormat="1" applyFont="1" applyFill="1" applyBorder="1"/>
    <x:xf numFmtId="215" fontId="59" fillId="18" borderId="0" xfId="0" applyNumberFormat="1" applyFont="1" applyFill="1" applyBorder="1" applyAlignment="1">
      <x:alignment horizontal="left"/>
    </x:xf>
    <x:xf numFmtId="215" fontId="59" fillId="18" borderId="0" xfId="0" applyNumberFormat="1" applyFont="1" applyFill="1" applyBorder="1" applyAlignment="1">
      <x:alignment horizontal="left" vertical="center"/>
    </x:xf>
    <x:xf numFmtId="0" fontId="61" fillId="18" borderId="0" xfId="0" applyNumberFormat="1" applyFont="1" applyFill="1" applyBorder="1"/>
    <x:xf numFmtId="0" fontId="61" fillId="18" borderId="0" xfId="0" applyNumberFormat="1" applyFont="1" applyFill="1" applyBorder="1" applyAlignment="1">
      <x:alignment wrapText="1"/>
    </x:xf>
    <x:xf numFmtId="0" fontId="61" fillId="18" borderId="0" xfId="0" applyNumberFormat="1" applyFont="1" applyFill="1" applyBorder="1" applyAlignment="1">
      <x:alignment horizontal="left" wrapText="1"/>
    </x:xf>
    <x:xf numFmtId="0" fontId="61" fillId="18" borderId="0" xfId="0" applyNumberFormat="1" applyFont="1" applyFill="1" applyBorder="1" applyAlignment="1">
      <x:alignment horizontal="left" vertical="center" wrapText="1"/>
    </x:xf>
    <x:xf numFmtId="0" fontId="63" fillId="18" borderId="6" xfId="0" applyNumberFormat="1" applyFont="1" applyFill="1" applyBorder="1" applyAlignment="1">
      <x:alignment horizontal="left" vertical="center"/>
    </x:xf>
    <x:xf numFmtId="0" fontId="63" fillId="18" borderId="17" xfId="0" applyNumberFormat="1" applyFont="1" applyFill="1" applyBorder="1" applyAlignment="1">
      <x:alignment horizontal="left" vertical="center"/>
    </x:xf>
    <x:xf numFmtId="0" fontId="63" fillId="18" borderId="7" xfId="0" applyNumberFormat="1" applyFont="1" applyFill="1" applyBorder="1" applyAlignment="1">
      <x:alignment horizontal="left" vertical="center"/>
    </x:xf>
    <x:xf numFmtId="215" fontId="59" fillId="18" borderId="8" xfId="0" applyNumberFormat="1" applyFont="1" applyFill="1" applyBorder="1" applyAlignment="1">
      <x:alignment horizontal="left" vertical="center"/>
    </x:xf>
    <x:xf numFmtId="215" fontId="59" fillId="18" xfId="0" applyNumberFormat="1" applyFont="1" applyFill="1" applyBorder="0" applyAlignment="1">
      <x:alignment horizontal="left" vertical="center"/>
    </x:xf>
    <x:xf numFmtId="215" fontId="59" fillId="18" borderId="9" xfId="0" applyNumberFormat="1" applyFont="1" applyFill="1" applyBorder="1" applyAlignment="1">
      <x:alignment horizontal="left" vertical="center"/>
    </x:xf>
    <x:xf numFmtId="0" fontId="61" fillId="18" borderId="10" xfId="0" applyNumberFormat="1" applyFont="1" applyFill="1" applyBorder="1" applyAlignment="1">
      <x:alignment horizontal="left" vertical="center" wrapText="1"/>
    </x:xf>
    <x:xf numFmtId="0" fontId="61" fillId="18" borderId="15" xfId="0" applyNumberFormat="1" applyFont="1" applyFill="1" applyBorder="1" applyAlignment="1">
      <x:alignment horizontal="left" vertical="center" wrapText="1"/>
    </x:xf>
    <x:xf numFmtId="0" fontId="61" fillId="18" borderId="11" xfId="0" applyNumberFormat="1" applyFont="1" applyFill="1" applyBorder="1" applyAlignment="1">
      <x:alignment horizontal="left" vertical="center" wrapText="1"/>
    </x:xf>
    <x:xf numFmtId="0" fontId="55" fillId="19" borderId="0" xfId="0" applyNumberFormat="1" applyFont="1" applyFill="1" applyBorder="1"/>
    <x:xf numFmtId="0" fontId="64" fillId="19" borderId="0" xfId="0" applyNumberFormat="1" applyFont="1" applyFill="1" applyBorder="1"/>
    <x:xf numFmtId="0" fontId="64" fillId="19" borderId="0" xfId="0" applyNumberFormat="1" applyFont="1" applyFill="1" applyBorder="1" applyAlignment="1">
      <x:alignment horizontal="left"/>
    </x:xf>
    <x:xf numFmtId="0" fontId="64" fillId="19" borderId="0" xfId="0" applyNumberFormat="1" applyFont="1" applyFill="1" applyBorder="1" applyAlignment="1">
      <x:alignment horizontal="left" vertical="center"/>
    </x:xf>
    <x:xf numFmtId="0" fontId="59" fillId="19" borderId="0" xfId="0" applyNumberFormat="1" applyFont="1" applyFill="1" applyBorder="1"/>
    <x:xf numFmtId="210" fontId="59" fillId="19" borderId="0" xfId="0" applyNumberFormat="1" applyFont="1" applyFill="1" applyBorder="1"/>
    <x:xf numFmtId="210" fontId="59" fillId="19" borderId="0" xfId="0" applyNumberFormat="1" applyFont="1" applyFill="1" applyBorder="1" applyAlignment="1">
      <x:alignment horizontal="left"/>
    </x:xf>
    <x:xf numFmtId="210" fontId="59" fillId="19" borderId="0" xfId="0" applyNumberFormat="1" applyFont="1" applyFill="1" applyBorder="1" applyAlignment="1">
      <x:alignment horizontal="left" vertical="center"/>
    </x:xf>
    <x:xf numFmtId="0" fontId="61" fillId="19" borderId="0" xfId="0" applyNumberFormat="1" applyFont="1" applyFill="1" applyBorder="1"/>
    <x:xf numFmtId="0" fontId="61" fillId="19" borderId="0" xfId="0" applyNumberFormat="1" applyFont="1" applyFill="1" applyBorder="1" applyAlignment="1">
      <x:alignment wrapText="1"/>
    </x:xf>
    <x:xf numFmtId="0" fontId="61" fillId="19" borderId="0" xfId="0" applyNumberFormat="1" applyFont="1" applyFill="1" applyBorder="1" applyAlignment="1">
      <x:alignment horizontal="left" wrapText="1"/>
    </x:xf>
    <x:xf numFmtId="0" fontId="61" fillId="19" borderId="0" xfId="0" applyNumberFormat="1" applyFont="1" applyFill="1" applyBorder="1" applyAlignment="1">
      <x:alignment horizontal="left" vertical="center" wrapText="1"/>
    </x:xf>
    <x:xf numFmtId="0" fontId="64" fillId="19" borderId="6" xfId="0" applyNumberFormat="1" applyFont="1" applyFill="1" applyBorder="1" applyAlignment="1">
      <x:alignment horizontal="left" vertical="center"/>
    </x:xf>
    <x:xf numFmtId="0" fontId="64" fillId="19" borderId="17" xfId="0" applyNumberFormat="1" applyFont="1" applyFill="1" applyBorder="1" applyAlignment="1">
      <x:alignment horizontal="left" vertical="center"/>
    </x:xf>
    <x:xf numFmtId="0" fontId="64" fillId="19" borderId="7" xfId="0" applyNumberFormat="1" applyFont="1" applyFill="1" applyBorder="1" applyAlignment="1">
      <x:alignment horizontal="left" vertical="center"/>
    </x:xf>
    <x:xf numFmtId="210" fontId="59" fillId="19" borderId="8" xfId="0" applyNumberFormat="1" applyFont="1" applyFill="1" applyBorder="1" applyAlignment="1">
      <x:alignment horizontal="left" vertical="center"/>
    </x:xf>
    <x:xf numFmtId="210" fontId="59" fillId="19" xfId="0" applyNumberFormat="1" applyFont="1" applyFill="1" applyBorder="0" applyAlignment="1">
      <x:alignment horizontal="left" vertical="center"/>
    </x:xf>
    <x:xf numFmtId="210" fontId="59" fillId="19" borderId="9" xfId="0" applyNumberFormat="1" applyFont="1" applyFill="1" applyBorder="1" applyAlignment="1">
      <x:alignment horizontal="left" vertical="center"/>
    </x:xf>
    <x:xf numFmtId="0" fontId="61" fillId="19" borderId="10" xfId="0" applyNumberFormat="1" applyFont="1" applyFill="1" applyBorder="1" applyAlignment="1">
      <x:alignment horizontal="left" vertical="center" wrapText="1"/>
    </x:xf>
    <x:xf numFmtId="0" fontId="61" fillId="19" borderId="15" xfId="0" applyNumberFormat="1" applyFont="1" applyFill="1" applyBorder="1" applyAlignment="1">
      <x:alignment horizontal="left" vertical="center" wrapText="1"/>
    </x:xf>
    <x:xf numFmtId="0" fontId="61" fillId="19" borderId="11" xfId="0" applyNumberFormat="1" applyFont="1" applyFill="1" applyBorder="1" applyAlignment="1">
      <x:alignment horizontal="left" vertical="center" wrapText="1"/>
    </x:xf>
    <x:xf numFmtId="0" fontId="55" fillId="20" borderId="0" xfId="0" applyNumberFormat="1" applyFont="1" applyFill="1" applyBorder="1"/>
    <x:xf numFmtId="0" fontId="24" fillId="20" borderId="0" xfId="0" applyNumberFormat="1" applyFont="1" applyFill="1" applyBorder="1"/>
    <x:xf numFmtId="0" fontId="24" fillId="20" borderId="0" xfId="0" applyNumberFormat="1" applyFont="1" applyFill="1" applyBorder="1" applyAlignment="1">
      <x:alignment vertical="center"/>
    </x:xf>
    <x:xf numFmtId="0" fontId="59" fillId="20" borderId="0" xfId="0" applyNumberFormat="1" applyFont="1" applyFill="1" applyBorder="1"/>
    <x:xf numFmtId="216" fontId="59" fillId="20" borderId="0" xfId="0" applyNumberFormat="1" applyFont="1" applyFill="1" applyBorder="1"/>
    <x:xf numFmtId="216" fontId="59" fillId="20" borderId="0" xfId="0" applyNumberFormat="1" applyFont="1" applyFill="1" applyBorder="1" applyAlignment="1">
      <x:alignment vertical="center"/>
    </x:xf>
    <x:xf numFmtId="0" fontId="61" fillId="20" borderId="0" xfId="0" applyNumberFormat="1" applyFont="1" applyFill="1" applyBorder="1"/>
    <x:xf numFmtId="0" fontId="61" fillId="20" borderId="0" xfId="0" applyNumberFormat="1" applyFont="1" applyFill="1" applyBorder="1" applyAlignment="1">
      <x:alignment wrapText="1"/>
    </x:xf>
    <x:xf numFmtId="0" fontId="61" fillId="20" borderId="0" xfId="0" applyNumberFormat="1" applyFont="1" applyFill="1" applyBorder="1" applyAlignment="1">
      <x:alignment vertical="center" wrapText="1"/>
    </x:xf>
    <x:xf numFmtId="0" fontId="24" fillId="20" borderId="6" xfId="0" applyNumberFormat="1" applyFont="1" applyFill="1" applyBorder="1" applyAlignment="1">
      <x:alignment vertical="center"/>
    </x:xf>
    <x:xf numFmtId="0" fontId="24" fillId="20" borderId="17" xfId="0" applyNumberFormat="1" applyFont="1" applyFill="1" applyBorder="1" applyAlignment="1">
      <x:alignment vertical="center"/>
    </x:xf>
    <x:xf numFmtId="0" fontId="24" fillId="20" borderId="7" xfId="0" applyNumberFormat="1" applyFont="1" applyFill="1" applyBorder="1" applyAlignment="1">
      <x:alignment vertical="center"/>
    </x:xf>
    <x:xf numFmtId="216" fontId="59" fillId="20" borderId="8" xfId="0" applyNumberFormat="1" applyFont="1" applyFill="1" applyBorder="1" applyAlignment="1">
      <x:alignment vertical="center"/>
    </x:xf>
    <x:xf numFmtId="216" fontId="59" fillId="20" xfId="0" applyNumberFormat="1" applyFont="1" applyFill="1" applyBorder="0" applyAlignment="1">
      <x:alignment vertical="center"/>
    </x:xf>
    <x:xf numFmtId="216" fontId="59" fillId="20" borderId="9" xfId="0" applyNumberFormat="1" applyFont="1" applyFill="1" applyBorder="1" applyAlignment="1">
      <x:alignment vertical="center"/>
    </x:xf>
    <x:xf numFmtId="0" fontId="61" fillId="20" borderId="10" xfId="0" applyNumberFormat="1" applyFont="1" applyFill="1" applyBorder="1" applyAlignment="1">
      <x:alignment vertical="center" wrapText="1"/>
    </x:xf>
    <x:xf numFmtId="0" fontId="61" fillId="20" borderId="15" xfId="0" applyNumberFormat="1" applyFont="1" applyFill="1" applyBorder="1" applyAlignment="1">
      <x:alignment vertical="center" wrapText="1"/>
    </x:xf>
    <x:xf numFmtId="0" fontId="61" fillId="20" borderId="11" xfId="0" applyNumberFormat="1" applyFont="1" applyFill="1" applyBorder="1" applyAlignment="1">
      <x:alignment vertical="center" wrapText="1"/>
    </x:xf>
    <x:xf numFmtId="0" fontId="55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0" xfId="0" applyNumberFormat="1" applyFont="1" applyFill="1" applyBorder="1" applyAlignment="1">
      <x:alignment vertical="center"/>
    </x:xf>
    <x:xf numFmtId="0" fontId="59" fillId="21" borderId="0" xfId="0" applyNumberFormat="1" applyFont="1" applyFill="1" applyBorder="1"/>
    <x:xf numFmtId="210" fontId="59" fillId="21" borderId="0" xfId="0" applyNumberFormat="1" applyFont="1" applyFill="1" applyBorder="1"/>
    <x:xf numFmtId="210" fontId="59" fillId="21" borderId="0" xfId="0" applyNumberFormat="1" applyFont="1" applyFill="1" applyBorder="1" applyAlignment="1">
      <x:alignment vertical="center"/>
    </x:xf>
    <x:xf numFmtId="0" fontId="61" fillId="21" borderId="0" xfId="0" applyNumberFormat="1" applyFont="1" applyFill="1" applyBorder="1"/>
    <x:xf numFmtId="0" fontId="61" fillId="21" borderId="0" xfId="0" applyNumberFormat="1" applyFont="1" applyFill="1" applyBorder="1" applyAlignment="1">
      <x:alignment wrapText="1"/>
    </x:xf>
    <x:xf numFmtId="0" fontId="61" fillId="21" borderId="0" xfId="0" applyNumberFormat="1" applyFont="1" applyFill="1" applyBorder="1" applyAlignment="1">
      <x:alignment vertical="center" wrapText="1"/>
    </x:xf>
    <x:xf numFmtId="0" fontId="24" fillId="21" borderId="6" xfId="0" applyNumberFormat="1" applyFont="1" applyFill="1" applyBorder="1" applyAlignment="1">
      <x:alignment vertical="center"/>
    </x:xf>
    <x:xf numFmtId="0" fontId="24" fillId="21" borderId="17" xfId="0" applyNumberFormat="1" applyFont="1" applyFill="1" applyBorder="1" applyAlignment="1">
      <x:alignment vertical="center"/>
    </x:xf>
    <x:xf numFmtId="0" fontId="24" fillId="21" borderId="7" xfId="0" applyNumberFormat="1" applyFont="1" applyFill="1" applyBorder="1" applyAlignment="1">
      <x:alignment vertical="center"/>
    </x:xf>
    <x:xf numFmtId="210" fontId="59" fillId="21" borderId="8" xfId="0" applyNumberFormat="1" applyFont="1" applyFill="1" applyBorder="1" applyAlignment="1">
      <x:alignment vertical="center"/>
    </x:xf>
    <x:xf numFmtId="210" fontId="59" fillId="21" xfId="0" applyNumberFormat="1" applyFont="1" applyFill="1" applyBorder="0" applyAlignment="1">
      <x:alignment vertical="center"/>
    </x:xf>
    <x:xf numFmtId="210" fontId="59" fillId="21" borderId="9" xfId="0" applyNumberFormat="1" applyFont="1" applyFill="1" applyBorder="1" applyAlignment="1">
      <x:alignment vertical="center"/>
    </x:xf>
    <x:xf numFmtId="0" fontId="61" fillId="21" borderId="10" xfId="0" applyNumberFormat="1" applyFont="1" applyFill="1" applyBorder="1" applyAlignment="1">
      <x:alignment vertical="center" wrapText="1"/>
    </x:xf>
    <x:xf numFmtId="0" fontId="61" fillId="21" borderId="15" xfId="0" applyNumberFormat="1" applyFont="1" applyFill="1" applyBorder="1" applyAlignment="1">
      <x:alignment vertical="center" wrapText="1"/>
    </x:xf>
    <x:xf numFmtId="0" fontId="61" fillId="21" borderId="11" xfId="0" applyNumberFormat="1" applyFont="1" applyFill="1" applyBorder="1" applyAlignment="1">
      <x:alignment vertical="center" wrapText="1"/>
    </x:xf>
    <x:xf numFmtId="0" fontId="55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0" xfId="0" applyNumberFormat="1" applyFont="1" applyFill="1" applyBorder="1" applyAlignment="1">
      <x:alignment vertical="center"/>
    </x:xf>
    <x:xf numFmtId="0" fontId="59" fillId="22" borderId="0" xfId="0" applyNumberFormat="1" applyFont="1" applyFill="1" applyBorder="1"/>
    <x:xf numFmtId="215" fontId="59" fillId="22" borderId="0" xfId="0" applyNumberFormat="1" applyFont="1" applyFill="1" applyBorder="1"/>
    <x:xf numFmtId="215" fontId="59" fillId="22" borderId="0" xfId="0" applyNumberFormat="1" applyFont="1" applyFill="1" applyBorder="1" applyAlignment="1">
      <x:alignment vertical="center"/>
    </x:xf>
    <x:xf numFmtId="0" fontId="61" fillId="22" borderId="0" xfId="0" applyNumberFormat="1" applyFont="1" applyFill="1" applyBorder="1"/>
    <x:xf numFmtId="0" fontId="61" fillId="22" borderId="0" xfId="0" applyNumberFormat="1" applyFont="1" applyFill="1" applyBorder="1" applyAlignment="1">
      <x:alignment wrapText="1"/>
    </x:xf>
    <x:xf numFmtId="0" fontId="61" fillId="22" borderId="0" xfId="0" applyNumberFormat="1" applyFont="1" applyFill="1" applyBorder="1" applyAlignment="1">
      <x:alignment vertical="center" wrapText="1"/>
    </x:xf>
    <x:xf numFmtId="0" fontId="24" fillId="22" borderId="6" xfId="0" applyNumberFormat="1" applyFont="1" applyFill="1" applyBorder="1" applyAlignment="1">
      <x:alignment vertical="center"/>
    </x:xf>
    <x:xf numFmtId="0" fontId="24" fillId="22" borderId="17" xfId="0" applyNumberFormat="1" applyFont="1" applyFill="1" applyBorder="1" applyAlignment="1">
      <x:alignment vertical="center"/>
    </x:xf>
    <x:xf numFmtId="0" fontId="24" fillId="22" borderId="7" xfId="0" applyNumberFormat="1" applyFont="1" applyFill="1" applyBorder="1" applyAlignment="1">
      <x:alignment vertical="center"/>
    </x:xf>
    <x:xf numFmtId="215" fontId="59" fillId="22" borderId="8" xfId="0" applyNumberFormat="1" applyFont="1" applyFill="1" applyBorder="1" applyAlignment="1">
      <x:alignment vertical="center"/>
    </x:xf>
    <x:xf numFmtId="215" fontId="59" fillId="22" xfId="0" applyNumberFormat="1" applyFont="1" applyFill="1" applyBorder="0" applyAlignment="1">
      <x:alignment vertical="center"/>
    </x:xf>
    <x:xf numFmtId="215" fontId="59" fillId="22" borderId="9" xfId="0" applyNumberFormat="1" applyFont="1" applyFill="1" applyBorder="1" applyAlignment="1">
      <x:alignment vertical="center"/>
    </x:xf>
    <x:xf numFmtId="0" fontId="61" fillId="22" borderId="10" xfId="0" applyNumberFormat="1" applyFont="1" applyFill="1" applyBorder="1" applyAlignment="1">
      <x:alignment vertical="center" wrapText="1"/>
    </x:xf>
    <x:xf numFmtId="0" fontId="61" fillId="22" borderId="15" xfId="0" applyNumberFormat="1" applyFont="1" applyFill="1" applyBorder="1" applyAlignment="1">
      <x:alignment vertical="center" wrapText="1"/>
    </x:xf>
    <x:xf numFmtId="0" fontId="61" fillId="22" borderId="11" xfId="0" applyNumberFormat="1" applyFont="1" applyFill="1" applyBorder="1" applyAlignment="1">
      <x:alignment vertical="center" wrapText="1"/>
    </x:xf>
    <x:xf numFmtId="0" fontId="55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0" xfId="0" applyNumberFormat="1" applyFont="1" applyFill="1" applyBorder="1" applyAlignment="1">
      <x:alignment vertical="center"/>
    </x:xf>
    <x:xf numFmtId="0" fontId="59" fillId="23" borderId="0" xfId="0" applyNumberFormat="1" applyFont="1" applyFill="1" applyBorder="1"/>
    <x:xf numFmtId="216" fontId="59" fillId="23" borderId="0" xfId="0" applyNumberFormat="1" applyFont="1" applyFill="1" applyBorder="1"/>
    <x:xf numFmtId="216" fontId="59" fillId="23" borderId="0" xfId="0" applyNumberFormat="1" applyFont="1" applyFill="1" applyBorder="1" applyAlignment="1">
      <x:alignment vertical="center"/>
    </x:xf>
    <x:xf numFmtId="0" fontId="61" fillId="23" borderId="0" xfId="0" applyNumberFormat="1" applyFont="1" applyFill="1" applyBorder="1"/>
    <x:xf numFmtId="0" fontId="61" fillId="23" borderId="0" xfId="0" applyNumberFormat="1" applyFont="1" applyFill="1" applyBorder="1" applyAlignment="1">
      <x:alignment wrapText="1"/>
    </x:xf>
    <x:xf numFmtId="0" fontId="61" fillId="23" borderId="0" xfId="0" applyNumberFormat="1" applyFont="1" applyFill="1" applyBorder="1" applyAlignment="1">
      <x:alignment vertical="center" wrapText="1"/>
    </x:xf>
    <x:xf numFmtId="0" fontId="24" fillId="23" borderId="6" xfId="0" applyNumberFormat="1" applyFont="1" applyFill="1" applyBorder="1" applyAlignment="1">
      <x:alignment vertical="center"/>
    </x:xf>
    <x:xf numFmtId="0" fontId="24" fillId="23" borderId="17" xfId="0" applyNumberFormat="1" applyFont="1" applyFill="1" applyBorder="1" applyAlignment="1">
      <x:alignment vertical="center"/>
    </x:xf>
    <x:xf numFmtId="0" fontId="24" fillId="23" borderId="7" xfId="0" applyNumberFormat="1" applyFont="1" applyFill="1" applyBorder="1" applyAlignment="1">
      <x:alignment vertical="center"/>
    </x:xf>
    <x:xf numFmtId="216" fontId="59" fillId="23" borderId="8" xfId="0" applyNumberFormat="1" applyFont="1" applyFill="1" applyBorder="1" applyAlignment="1">
      <x:alignment vertical="center"/>
    </x:xf>
    <x:xf numFmtId="216" fontId="59" fillId="23" xfId="0" applyNumberFormat="1" applyFont="1" applyFill="1" applyBorder="0" applyAlignment="1">
      <x:alignment vertical="center"/>
    </x:xf>
    <x:xf numFmtId="216" fontId="59" fillId="23" borderId="9" xfId="0" applyNumberFormat="1" applyFont="1" applyFill="1" applyBorder="1" applyAlignment="1">
      <x:alignment vertical="center"/>
    </x:xf>
    <x:xf numFmtId="0" fontId="61" fillId="23" borderId="10" xfId="0" applyNumberFormat="1" applyFont="1" applyFill="1" applyBorder="1" applyAlignment="1">
      <x:alignment vertical="center" wrapText="1"/>
    </x:xf>
    <x:xf numFmtId="0" fontId="61" fillId="23" borderId="15" xfId="0" applyNumberFormat="1" applyFont="1" applyFill="1" applyBorder="1" applyAlignment="1">
      <x:alignment vertical="center" wrapText="1"/>
    </x:xf>
    <x:xf numFmtId="0" fontId="61" fillId="23" borderId="11" xfId="0" applyNumberFormat="1" applyFont="1" applyFill="1" applyBorder="1" applyAlignment="1">
      <x:alignment vertical="center" wrapText="1"/>
    </x:xf>
    <x:xf numFmtId="210" fontId="3" fillId="14" borderId="0" xfId="0" applyNumberFormat="1" applyFont="1" applyFill="1" applyBorder="1" applyAlignment="1">
      <x:alignment horizontal="center"/>
    </x:xf>
    <x:xf numFmtId="210" fontId="24" fillId="11" borderId="0" xfId="0" applyNumberFormat="1" applyFont="1" applyFill="1" applyBorder="1"/>
    <x:xf numFmtId="210" fontId="24" fillId="11" borderId="0" xfId="0" applyNumberFormat="1" applyFont="1" applyFill="1" applyBorder="1" applyAlignment="1">
      <x:alignment horizontal="center"/>
    </x:xf>
    <x:xf numFmtId="216" fontId="55" fillId="17" borderId="0" xfId="0" applyNumberFormat="1" applyFont="1" applyFill="1" applyBorder="1"/>
    <x:xf numFmtId="210" fontId="3" fillId="14" borderId="18" xfId="0" applyNumberFormat="1" applyFont="1" applyFill="1" applyBorder="1" applyAlignment="1">
      <x:alignment horizontal="center"/>
    </x:xf>
    <x:xf numFmtId="210" fontId="24" fillId="11" borderId="18" xfId="0" applyNumberFormat="1" applyFont="1" applyFill="1" applyBorder="1" applyAlignment="1">
      <x:alignment horizontal="center"/>
    </x:xf>
    <x:xf numFmtId="216" fontId="55" fillId="17" borderId="18" xfId="0" applyNumberFormat="1" applyFont="1" applyFill="1" applyBorder="1"/>
    <x:xf numFmtId="0" fontId="55" fillId="17" borderId="15" xfId="0" applyNumberFormat="1" applyFont="1" applyFill="1" applyBorder="1"/>
    <x:xf numFmtId="0" fontId="55" fillId="17" borderId="16" xfId="0" applyNumberFormat="1" applyFont="1" applyFill="1" applyBorder="1"/>
    <x:xf numFmtId="216" fontId="55" fillId="17" borderId="15" xfId="0" applyNumberFormat="1" applyFont="1" applyFill="1" applyBorder="1"/>
    <x:xf numFmtId="214" fontId="55" fillId="17" borderId="16" xfId="0" applyNumberFormat="1" applyFont="1" applyFill="1" applyBorder="1"/>
    <x:xf numFmtId="210" fontId="55" fillId="17" borderId="16" xfId="0" applyNumberFormat="1" applyFont="1" applyFill="1" applyBorder="1"/>
    <x:xf numFmtId="215" fontId="55" fillId="17" borderId="16" xfId="0" applyNumberFormat="1" applyFont="1" applyFill="1" applyBorder="1"/>
    <x:xf numFmtId="216" fontId="55" fillId="17" borderId="16" xfId="0" applyNumberFormat="1" applyFont="1" applyFill="1" applyBorder="1"/>
    <x:xf numFmtId="0" fontId="65" fillId="11" borderId="0" xfId="0" applyNumberFormat="1" applyFont="1" applyFill="1" applyBorder="1"/>
    <x:xf numFmtId="0" fontId="65" fillId="11" borderId="0" xfId="0" applyNumberFormat="1" applyFont="1" applyFill="1" applyBorder="1" applyAlignment="1">
      <x:alignment wrapText="1"/>
    </x:xf>
    <x:xf numFmtId="0" fontId="65" fillId="11" borderId="0" xfId="0" applyNumberFormat="1" applyFont="1" applyFill="1" applyBorder="1" applyAlignment="1">
      <x:alignment vertical="top" wrapText="1"/>
    </x:xf>
    <x:xf numFmtId="0" fontId="65" fillId="11" borderId="6" xfId="0" applyNumberFormat="1" applyFont="1" applyFill="1" applyBorder="1" applyAlignment="1">
      <x:alignment vertical="top" wrapText="1"/>
    </x:xf>
    <x:xf numFmtId="0" fontId="65" fillId="11" borderId="17" xfId="0" applyNumberFormat="1" applyFont="1" applyFill="1" applyBorder="1" applyAlignment="1">
      <x:alignment vertical="top" wrapText="1"/>
    </x:xf>
    <x:xf numFmtId="0" fontId="65" fillId="11" borderId="7" xfId="0" applyNumberFormat="1" applyFont="1" applyFill="1" applyBorder="1" applyAlignment="1">
      <x:alignment vertical="top" wrapText="1"/>
    </x:xf>
    <x:xf numFmtId="0" fontId="65" fillId="11" borderId="8" xfId="0" applyNumberFormat="1" applyFont="1" applyFill="1" applyBorder="1" applyAlignment="1">
      <x:alignment vertical="top" wrapText="1"/>
    </x:xf>
    <x:xf numFmtId="0" fontId="65" fillId="11" xfId="0" applyNumberFormat="1" applyFont="1" applyFill="1" applyBorder="0" applyAlignment="1">
      <x:alignment vertical="top" wrapText="1"/>
    </x:xf>
    <x:xf numFmtId="0" fontId="65" fillId="11" borderId="9" xfId="0" applyNumberFormat="1" applyFont="1" applyFill="1" applyBorder="1" applyAlignment="1">
      <x:alignment vertical="top" wrapText="1"/>
    </x:xf>
    <x:xf numFmtId="0" fontId="65" fillId="11" borderId="10" xfId="0" applyNumberFormat="1" applyFont="1" applyFill="1" applyBorder="1" applyAlignment="1">
      <x:alignment vertical="top" wrapText="1"/>
    </x:xf>
    <x:xf numFmtId="0" fontId="65" fillId="11" borderId="15" xfId="0" applyNumberFormat="1" applyFont="1" applyFill="1" applyBorder="1" applyAlignment="1">
      <x:alignment vertical="top" wrapText="1"/>
    </x:xf>
    <x:xf numFmtId="0" fontId="65" fillId="11" borderId="11" xfId="0" applyNumberFormat="1" applyFont="1" applyFill="1" applyBorder="1" applyAlignment="1">
      <x:alignment vertical="top" wrapText="1"/>
    </x:xf>
    <x:xf numFmtId="0" fontId="66" fillId="12" borderId="0" xfId="0" applyNumberFormat="1" applyFont="1" applyFill="1" applyBorder="1"/>
    <x:xf numFmtId="0" fontId="66" fillId="12" borderId="0" xfId="0" applyNumberFormat="1" applyFont="1" applyFill="1" applyBorder="1" applyAlignment="1">
      <x:alignment wrapText="1"/>
    </x:xf>
    <x:xf numFmtId="0" fontId="66" fillId="12" borderId="0" xfId="0" applyNumberFormat="1" applyFont="1" applyFill="1" applyBorder="1" applyAlignment="1">
      <x:alignment vertical="center" wrapText="1"/>
    </x:xf>
    <x:xf numFmtId="210" fontId="12" fillId="0" borderId="0" xfId="0" applyNumberFormat="1" applyFont="1" applyFill="1" applyBorder="1"/>
    <x:xf numFmtId="212" fontId="12" fillId="0" borderId="0" xfId="0" applyNumberFormat="1" applyFont="1" applyFill="1" applyBorder="1"/>
  </x:cellXfs>
  <x:cellStyles count="1">
    <x:cellStyle name="Normal" xfId="0"/>
  </x:cellStyles>
  <x:dxfs count="11">
    <x:dxf>
      <x:font>
        <x:b/>
        <x:color rgb="FF2E7D32"/>
      </x:font>
      <x:fill>
        <x:patternFill>
          <x:bgColor rgb="FFE2F0D9"/>
        </x:patternFill>
      </x:fill>
    </x:dxf>
    <x:dxf>
      <x:font>
        <x:color rgb="FFC00000"/>
      </x:font>
    </x:dxf>
    <x:dxf>
      <x:font>
        <x:b/>
        <x:color rgb="FF2E7D32"/>
      </x:font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2E7D32"/>
      </x:font>
      <x:fill>
        <x:patternFill>
          <x:bgColor rgb="FFE2F0D9"/>
        </x:patternFill>
      </x:fill>
    </x:dxf>
    <x:dxf>
      <x:font>
        <x:color rgb="FFC58A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fb3cad3d647b4" /><Relationship Type="http://schemas.openxmlformats.org/officeDocument/2006/relationships/theme" Target="/xl/theme/theme1.xml" Id="R71424a8419eb419e" /><Relationship Type="http://schemas.openxmlformats.org/officeDocument/2006/relationships/sharedStrings" Target="/xl/sharedStrings.xml" Id="R826fa9bf6a7d4b87" /><Relationship Type="http://schemas.openxmlformats.org/officeDocument/2006/relationships/worksheet" Target="/xl/worksheets/sheet1.xml" Id="R7a4d244926714728" /><Relationship Type="http://schemas.openxmlformats.org/officeDocument/2006/relationships/worksheet" Target="/xl/worksheets/sheet2.xml" Id="Re5e23850ed9e4e5c" /><Relationship Type="http://schemas.openxmlformats.org/officeDocument/2006/relationships/worksheet" Target="/xl/worksheets/sheet3.xml" Id="R975d44cb184a41a8" /><Relationship Type="http://schemas.openxmlformats.org/officeDocument/2006/relationships/worksheet" Target="/xl/worksheets/sheet4.xml" Id="R262ecb1856c54c6c" /><Relationship Type="http://schemas.openxmlformats.org/officeDocument/2006/relationships/worksheet" Target="/xl/worksheets/sheet5.xml" Id="Raa40d39ca7174d54" /><Relationship Type="http://schemas.openxmlformats.org/officeDocument/2006/relationships/worksheet" Target="/xl/worksheets/sheet6.xml" Id="R290fb04039344d09" /><Relationship Type="http://schemas.openxmlformats.org/officeDocument/2006/relationships/worksheet" Target="/xl/worksheets/sheet7.xml" Id="R64767fcbe59849ab" /><Relationship Type="http://schemas.openxmlformats.org/officeDocument/2006/relationships/worksheet" Target="/xl/worksheets/sheet8.xml" Id="Rc66b618f7d7a4731" /><Relationship Type="http://schemas.openxmlformats.org/officeDocument/2006/relationships/worksheet" Target="/xl/worksheets/sheet9.xml" Id="R8fe455be998c4acb" /><Relationship Type="http://schemas.microsoft.com/office/2017/10/relationships/person" Target="/xl/persons/person.xml" Id="R4edabc8553ca4c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92475839a04c53" /><Relationship Type="http://schemas.openxmlformats.org/officeDocument/2006/relationships/chart" Target="/xl/drawings/charts/chart2.xml" Id="R26f1cab2ad014da6" /><Relationship Type="http://schemas.openxmlformats.org/officeDocument/2006/relationships/chart" Target="/xl/drawings/charts/chart3.xml" Id="R57588b1b7eba4d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95fb55935a847f9" /><Relationship Type="http://schemas.openxmlformats.org/officeDocument/2006/relationships/chart" Target="/xl/drawings/charts/chart5.xml" Id="R3fe99757e02c4612" /><Relationship Type="http://schemas.openxmlformats.org/officeDocument/2006/relationships/chart" Target="/xl/drawings/charts/chart6.xml" Id="Rcd94cb4c0f014dbd" /><Relationship Type="http://schemas.openxmlformats.org/officeDocument/2006/relationships/chart" Target="/xl/drawings/charts/chart7.xml" Id="Rf6ab7aa5dc324c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Годовые затраты: без системы и с системой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Студенты</c:v>
          </c:tx>
          <c:cat>
            <c:strRef>
              <c:f>'Резюме'!$A$12:$A$13</c:f>
              <c:strCache>
                <c:ptCount val="0"/>
              </c:strCache>
            </c:strRef>
          </c:cat>
          <c:val>
            <c:numRef>
              <c:f>'Резюме'!$B$12:$B$13</c:f>
              <c:numCache>
                <c:formatCode>0.0,, "млн ₽"</c:formatCode>
                <c:ptCount val="0"/>
              </c:numCache>
            </c:numRef>
          </c:val>
        </c:ser>
        <c:ser>
          <c:idx val="1"/>
          <c:order val="1"/>
          <c:tx>
            <c:v>НПЗ / МС</c:v>
          </c:tx>
          <c:cat>
            <c:strRef>
              <c:f>'Резюме'!$A$12:$A$13</c:f>
              <c:strCache>
                <c:ptCount val="0"/>
              </c:strCache>
            </c:strRef>
          </c:cat>
          <c:val>
            <c:numRef>
              <c:f>'Резюме'!$C$12:$C$13</c:f>
              <c:numCache>
                <c:formatCode>0.0,, "млн 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Из чего складывается годовой эффект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Студенты</c:v>
          </c:tx>
          <c:cat>
            <c:strRef>
              <c:f>'Резюме'!$A$19:$A$21</c:f>
              <c:strCache>
                <c:ptCount val="0"/>
              </c:strCache>
            </c:strRef>
          </c:cat>
          <c:val>
            <c:numRef>
              <c:f>'Резюме'!$B$19:$B$21</c:f>
              <c:numCache>
                <c:formatCode>0.0,, "млн ₽"</c:formatCode>
                <c:ptCount val="0"/>
              </c:numCache>
            </c:numRef>
          </c:val>
        </c:ser>
        <c:ser>
          <c:idx val="1"/>
          <c:order val="1"/>
          <c:tx>
            <c:v>НПЗ / МС</c:v>
          </c:tx>
          <c:cat>
            <c:strRef>
              <c:f>'Резюме'!$A$19:$A$21</c:f>
              <c:strCache>
                <c:ptCount val="0"/>
              </c:strCache>
            </c:strRef>
          </c:cat>
          <c:val>
            <c:numRef>
              <c:f>'Резюме'!$C$19:$C$21</c:f>
              <c:numCache>
                <c:formatCode>0.0,, "млн 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Точка пересечения затрат и выгод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Накопленные затраты</c:v>
          </c:tx>
          <c:spPr>
            <a:ln xmlns:a="http://schemas.openxmlformats.org/drawingml/2006/main" w="23813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'Денежный поток'!$A$10:$A$46</c:f>
              <c:strCache>
                <c:ptCount val="0"/>
              </c:strCache>
            </c:strRef>
          </c:cat>
          <c:val>
            <c:numRef>
              <c:f>'Денежный поток'!$L$10:$L$46</c:f>
              <c:numCache>
                <c:formatCode>0.0,, "млн ₽"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Накопленные выгоды</c:v>
          </c:tx>
          <c:spPr>
            <a:ln xmlns:a="http://schemas.openxmlformats.org/drawingml/2006/main" w="23813">
              <a:solidFill>
                <a:srgbClr val="2E7D32"/>
              </a:solidFill>
            </a:ln>
          </c:spPr>
          <c:marker>
            <c:symbol val="none"/>
          </c:marker>
          <c:cat>
            <c:strRef>
              <c:f>'Денежный поток'!$A$10:$A$46</c:f>
              <c:strCache>
                <c:ptCount val="0"/>
              </c:strCache>
            </c:strRef>
          </c:cat>
          <c:val>
            <c:numRef>
              <c:f>'Денежный поток'!$M$10:$M$46</c:f>
              <c:numCache>
                <c:formatCode>0.0,, "млн ₽"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 &quot;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Без дисконтирования (CCF)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'Инвест. расчет'!$A$132:$A$168</c:f>
              <c:strCache>
                <c:ptCount val="0"/>
              </c:strCache>
            </c:strRef>
          </c:cat>
          <c:val>
            <c:numRef>
              <c:f>'Инвест. расчет'!$B$132:$B$168</c:f>
              <c:numCache>
                <c:formatCode>0.0,," млн ₽"</c:formatCode>
                <c:ptCount val="0"/>
              </c:numCache>
            </c:numRef>
          </c:val>
          <c:smooth val="0"/>
        </c:ser>
        <c:ser>
          <c:idx val="1"/>
          <c:order val="1"/>
          <c:tx>
            <c:v>Дисконтированный поток (CDD)</c:v>
          </c:tx>
          <c:spPr>
            <a:solidFill xmlns:a="http://schemas.openxmlformats.org/drawingml/2006/main">
              <a:srgbClr val="2E7D32"/>
            </a:solidFill>
          </c:spPr>
          <c:marker>
            <c:symbol val="none"/>
          </c:marker>
          <c:cat>
            <c:strRef>
              <c:f>'Инвест. расчет'!$A$132:$A$168</c:f>
              <c:strCache>
                <c:ptCount val="0"/>
              </c:strCache>
            </c:strRef>
          </c:cat>
          <c:val>
            <c:numRef>
              <c:f>'Инвест. расчет'!$C$132:$C$168</c:f>
              <c:numCache>
                <c:formatCode>0.0,," млн ₽"</c:formatCode>
                <c:ptCount val="0"/>
              </c:numCache>
            </c:numRef>
          </c:val>
          <c:smooth val="0"/>
        </c:ser>
        <c:ser>
          <c:idx val="2"/>
          <c:order val="2"/>
          <c:tx>
            <c:v>Нулевая линия</c:v>
          </c:tx>
          <c:spPr>
            <a:solidFill xmlns:a="http://schemas.openxmlformats.org/drawingml/2006/main">
              <a:srgbClr val="C62828"/>
            </a:solidFill>
          </c:spPr>
          <c:marker>
            <c:symbol val="none"/>
          </c:marker>
          <c:cat>
            <c:strRef>
              <c:f>'Инвест. расчет'!$A$132:$A$168</c:f>
              <c:strCache>
                <c:ptCount val="0"/>
              </c:strCache>
            </c:strRef>
          </c:cat>
          <c:val>
            <c:numRef>
              <c:f>'Инвест. расчет'!$D$132:$D$168</c:f>
              <c:numCache>
                <c:formatCode>0.0,," млн ₽"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Без дисконтирования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'Инвест. расчет'!$A$178:$A$179</c:f>
              <c:strCache>
                <c:ptCount val="0"/>
              </c:strCache>
            </c:strRef>
          </c:cat>
          <c:val>
            <c:numRef>
              <c:f>'Инвест. расчет'!$B$178:$B$179</c:f>
              <c:numCache>
                <c:formatCode>0.0,," млн ₽"</c:formatCode>
                <c:ptCount val="0"/>
              </c:numCache>
            </c:numRef>
          </c:val>
        </c:ser>
        <c:ser>
          <c:idx val="1"/>
          <c:order val="1"/>
          <c:tx>
            <c:v>NPV</c:v>
          </c:tx>
          <c:spPr>
            <a:solidFill xmlns:a="http://schemas.openxmlformats.org/drawingml/2006/main">
              <a:srgbClr val="2E7D32"/>
            </a:solidFill>
          </c:spPr>
          <c:cat>
            <c:strRef>
              <c:f>'Инвест. расчет'!$A$178:$A$179</c:f>
              <c:strCache>
                <c:ptCount val="0"/>
              </c:strCache>
            </c:strRef>
          </c:cat>
          <c:val>
            <c:numRef>
              <c:f>'Инвест. расчет'!$C$178:$C$179</c:f>
              <c:numCache>
                <c:formatCode>0.0,," млн 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Студенты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'Инвест. расчет'!$A$172:$A$174</c:f>
              <c:strCache>
                <c:ptCount val="0"/>
              </c:strCache>
            </c:strRef>
          </c:cat>
          <c:val>
            <c:numRef>
              <c:f>'Инвест. расчет'!$B$172:$B$174</c:f>
              <c:numCache>
                <c:formatCode>0.0,," млн ₽"</c:formatCode>
                <c:ptCount val="0"/>
              </c:numCache>
            </c:numRef>
          </c:val>
        </c:ser>
        <c:ser>
          <c:idx val="1"/>
          <c:order val="1"/>
          <c:tx>
            <c:v>НПЗ / МС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'Инвест. расчет'!$A$172:$A$174</c:f>
              <c:strCache>
                <c:ptCount val="0"/>
              </c:strCache>
            </c:strRef>
          </c:cat>
          <c:val>
            <c:numRef>
              <c:f>'Инвест. расчет'!$C$172:$C$174</c:f>
              <c:numCache>
                <c:formatCode>0.0,," млн ₽"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Студенты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'Инвест. расчет'!$D$122:$D$126</c:f>
              <c:strCache>
                <c:ptCount val="0"/>
              </c:strCache>
            </c:strRef>
          </c:cat>
          <c:val>
            <c:numRef>
              <c:f>'Инвест. расчет'!$B$122:$B$126</c:f>
              <c:numCache>
                <c:formatCode>0.0,," млн ₽"</c:formatCode>
                <c:ptCount val="0"/>
              </c:numCache>
            </c:numRef>
          </c:val>
          <c:smooth val="0"/>
        </c:ser>
        <c:ser>
          <c:idx val="1"/>
          <c:order val="1"/>
          <c:tx>
            <c:v>НПЗ / МС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'Инвест. расчет'!$D$122:$D$126</c:f>
              <c:strCache>
                <c:ptCount val="0"/>
              </c:strCache>
            </c:strRef>
          </c:cat>
          <c:val>
            <c:numRef>
              <c:f>'Инвест. расчет'!$C$122:$C$126</c:f>
              <c:numCache>
                <c:formatCode>0.0,," млн ₽"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92475839a04c53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f1cab2ad014da6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588b1b7eba4d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5fb55935a847f9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e99757e02c461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94cb4c0f014dbd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ab7aa5dc324c4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DE927EA-E625-4881-AB7B-ADB0322AFF11}"/>
  <xltc:person displayName="Пользователь" id="{1D89CF0E-0CE9-40A0-AB6C-1AC2E6A4B32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4" dT="2026-08-11T07:58:46.123" personId="{4DE927EA-E625-4881-AB7B-ADB0322AFF11}" id="{6C5C0ACD-BF74-CB94-F6CC-F92E4A6E2B7E}">
    <xltc:text>Источник: Банк России. Решение от 24.07.2026: ключевая ставка 14,0% годовых с 28.07.2026. Модельная премия: +1,5 п.п. URL: https://www.cbr.ru/press/pr/?file=24072026_133000key.htm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b5699da02e343f1" /><Relationship Type="http://schemas.openxmlformats.org/officeDocument/2006/relationships/vmlDrawing" Target="/xl/drawings/vmldrawing.vml" Id="R48bc1d08f1064516" /><Relationship Type="http://schemas.microsoft.com/office/2017/10/relationships/threadedComment" Target="/xl/threadedcomments/threadedcomment.xml" Id="R25ee7f9019f34d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7d93ad0ad93846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a71b3949e2c04dfe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6" hidden="0" customWidth="1"/>
    <x:col min="4" max="4" width="14" hidden="0" customWidth="1"/>
    <x:col min="5" max="5" width="24" hidden="0" customWidth="1"/>
    <x:col min="6" max="6" width="42" hidden="0" customWidth="1"/>
    <x:col min="7" max="7" width="13" hidden="0" customWidth="1"/>
    <x:col min="8" max="8" width="13" hidden="0" customWidth="1"/>
  </x:cols>
  <x:sheetData>
    <x:row r="1" ht="24" customHeight="1">
      <x:c r="A1" s="53" t="str">
        <x:v>Экономическая модель платформы «Диспетчер»</x:v>
      </x:c>
      <x:c r="B1" s="53"/>
      <x:c r="C1" s="53"/>
      <x:c r="D1" s="53"/>
      <x:c r="E1" s="53"/>
      <x:c r="F1" s="53"/>
      <x:c r="G1" s="53"/>
      <x:c r="H1" s="53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24" customHeight="1">
      <x:c r="A2" s="53"/>
      <x:c r="B2" s="53"/>
      <x:c r="C2" s="53"/>
      <x:c r="D2" s="53"/>
      <x:c r="E2" s="53"/>
      <x:c r="F2" s="53"/>
      <x:c r="G2" s="53"/>
      <x:c r="H2" s="53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24" customHeight="1">
      <x:c r="A3" s="54" t="str">
        <x:v>Все желтые ячейки — изменяемые допущения. Синим шрифтом выделены входные данные.</x:v>
      </x:c>
      <x:c r="B3" s="54"/>
      <x:c r="C3" s="54"/>
      <x:c r="D3" s="54"/>
      <x:c r="E3" s="54"/>
      <x:c r="F3" s="54"/>
      <x:c r="G3" s="54"/>
      <x:c r="H3" s="54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5" t="str">
        <x:v>Активный сценарий</x:v>
      </x:c>
      <x:c r="B4" s="55"/>
      <x:c r="C4" s="56" t="str">
        <x:v>Студенты</x:v>
      </x:c>
      <x:c r="D4" s="57"/>
      <x:c r="E4" s="58" t="str">
        <x:v>Назначение: учебная оценка эффекта, бюджета, ROI и срока окупаемости</x:v>
      </x:c>
      <x:c r="F4" s="58"/>
      <x:c r="G4" s="58"/>
      <x:c r="H4" s="58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7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Общие параметры проекта и стоимости</x:v>
      </x:c>
      <x:c r="B6" s="59"/>
      <x:c r="C6" s="59"/>
      <x:c r="D6" s="59"/>
      <x:c r="E6" s="59"/>
      <x:c r="F6" s="59"/>
      <x:c r="G6" s="59"/>
      <x:c r="H6" s="59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60" t="str">
        <x:v>Параметр</x:v>
      </x:c>
      <x:c r="B7" s="60" t="str">
        <x:v>Ед. изм.</x:v>
      </x:c>
      <x:c r="C7" s="60" t="str">
        <x:v>Значение</x:v>
      </x:c>
      <x:c r="D7" s="60" t="str">
        <x:v>Тип</x:v>
      </x:c>
      <x:c r="E7" s="60" t="str">
        <x:v>Основание</x:v>
      </x:c>
      <x:c r="F7" s="60" t="str">
        <x:v>Комментарий</x:v>
      </x:c>
      <x:c r="G7" s="60" t="str">
        <x:v>Мин.</x:v>
      </x:c>
      <x:c r="H7" s="60" t="str">
        <x:v>Макс.</x:v>
      </x:c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61" t="str">
        <x:v>Рабочих дней в году</x:v>
      </x:c>
      <x:c r="B8" s="61" t="str">
        <x:v>дней</x:v>
      </x:c>
      <x:c r="C8" s="62" t="n">
        <x:v>365</x:v>
      </x:c>
      <x:c r="D8" s="61" t="str">
        <x:v>Вход</x:v>
      </x:c>
      <x:c r="E8" s="61" t="str">
        <x:v>Календарное допущение</x:v>
      </x:c>
      <x:c r="F8" s="61" t="str">
        <x:v>Для годового пересчета ежедневной трудоемкости</x:v>
      </x:c>
      <x:c r="G8" s="63" t="n">
        <x:v>250</x:v>
      </x:c>
      <x:c r="H8" s="63" t="n">
        <x:v>366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61" t="str">
        <x:v>Ставка поддержки / оператора</x:v>
      </x:c>
      <x:c r="B9" s="61" t="str">
        <x:v>₽/ч</x:v>
      </x:c>
      <x:c r="C9" s="64" t="n">
        <x:v>2000</x:v>
      </x:c>
      <x:c r="D9" s="61" t="str">
        <x:v>Вход</x:v>
      </x:c>
      <x:c r="E9" s="61" t="str">
        <x:v>Условие задачи</x:v>
      </x:c>
      <x:c r="F9" s="61" t="str">
        <x:v>Используется только в эффекте сокращения трудозатрат</x:v>
      </x:c>
      <x:c r="G9" s="63" t="n">
        <x:v>0</x:v>
      </x:c>
      <x:c r="H9" s="63" t="n">
        <x:v>10000</x:v>
      </x:c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61" t="str">
        <x:v>Ставка участника проектной команды</x:v>
      </x:c>
      <x:c r="B10" s="61" t="str">
        <x:v>₽/ч</x:v>
      </x:c>
      <x:c r="C10" s="64" t="n">
        <x:v>3500</x:v>
      </x:c>
      <x:c r="D10" s="61" t="str">
        <x:v>Вход</x:v>
      </x:c>
      <x:c r="E10" s="61" t="str">
        <x:v>Условие задачи</x:v>
      </x:c>
      <x:c r="F10" s="61" t="str">
        <x:v>Используется в бюджете проекта и подключении новых источников</x:v>
      </x:c>
      <x:c r="G10" s="63" t="n">
        <x:v>0</x:v>
      </x:c>
      <x:c r="H10" s="63" t="n">
        <x:v>10000</x:v>
      </x:c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61" t="str">
        <x:v>Численность проектной команды</x:v>
      </x:c>
      <x:c r="B11" s="61" t="str">
        <x:v>чел.</x:v>
      </x:c>
      <x:c r="C11" s="62" t="n">
        <x:v>5</x:v>
      </x:c>
      <x:c r="D11" s="61" t="str">
        <x:v>Допущение</x:v>
      </x:c>
      <x:c r="E11" s="61" t="str">
        <x:v>Проектная оценка</x:v>
      </x:c>
      <x:c r="F11" s="61" t="str">
        <x:v>Архитектор, backend, frontend, DevOps, аналитик / QA</x:v>
      </x:c>
      <x:c r="G11" s="63" t="n">
        <x:v>4</x:v>
      </x:c>
      <x:c r="H11" s="63" t="n">
        <x:v>6</x:v>
      </x:c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61" t="str">
        <x:v>Длительность проекта</x:v>
      </x:c>
      <x:c r="B12" s="61" t="str">
        <x:v>мес.</x:v>
      </x:c>
      <x:c r="C12" s="62" t="n">
        <x:v>6</x:v>
      </x:c>
      <x:c r="D12" s="61" t="str">
        <x:v>Допущение</x:v>
      </x:c>
      <x:c r="E12" s="61" t="str">
        <x:v>Проектная спецификация</x:v>
      </x:c>
      <x:c r="F12" s="61" t="str">
        <x:v>Пилот и ввод в промышленную эксплуатацию</x:v>
      </x:c>
      <x:c r="G12" s="63" t="n">
        <x:v>4</x:v>
      </x:c>
      <x:c r="H12" s="63" t="n">
        <x:v>9</x:v>
      </x:c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61" t="str">
        <x:v>Загрузка участника команды</x:v>
      </x:c>
      <x:c r="B13" s="61" t="str">
        <x:v>ч/мес.</x:v>
      </x:c>
      <x:c r="C13" s="62" t="n">
        <x:v>160</x:v>
      </x:c>
      <x:c r="D13" s="61" t="str">
        <x:v>Допущение</x:v>
      </x:c>
      <x:c r="E13" s="61" t="str">
        <x:v>Проектная оценка</x:v>
      </x:c>
      <x:c r="F13" s="61" t="str">
        <x:v>Полная месячная загрузка</x:v>
      </x:c>
      <x:c r="G13" s="63" t="n">
        <x:v>80</x:v>
      </x:c>
      <x:c r="H13" s="63" t="n">
        <x:v>168</x:v>
      </x:c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61" t="str">
        <x:v>Инфраструктура</x:v>
      </x:c>
      <x:c r="B14" s="61" t="str">
        <x:v>₽</x:v>
      </x:c>
      <x:c r="C14" s="64" t="n">
        <x:v>1750000</x:v>
      </x:c>
      <x:c r="D14" s="61" t="str">
        <x:v>Допущение</x:v>
      </x:c>
      <x:c r="E14" s="61" t="str">
        <x:v>Диапазон 1,5–2,0 млн ₽</x:v>
      </x:c>
      <x:c r="F14" s="61" t="str">
        <x:v>Серверы, сеть, хранилище и резервирование</x:v>
      </x:c>
      <x:c r="G14" s="63" t="n">
        <x:v>1500000</x:v>
      </x:c>
      <x:c r="H14" s="63" t="n">
        <x:v>2000000</x:v>
      </x:c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61" t="str">
        <x:v>GPU-оборудование исходной сметы</x:v>
      </x:c>
      <x:c r="B15" s="61" t="str">
        <x:v>₽</x:v>
      </x:c>
      <x:c r="C15" s="64" t="n">
        <x:v>400000</x:v>
      </x:c>
      <x:c r="D15" s="61" t="str">
        <x:v>Допущение</x:v>
      </x:c>
      <x:c r="E15" s="61" t="str">
        <x:v>Материалы кейса</x:v>
      </x:c>
      <x:c r="F15" s="61" t="str">
        <x:v>Два GPU-сервера</x:v>
      </x:c>
      <x:c r="G15" s="63" t="n">
        <x:v>0</x:v>
      </x:c>
      <x:c r="H15" s="63" t="n">
        <x:v>400000</x:v>
      </x:c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61" t="str">
        <x:v>Оптимизация GPU-сметы</x:v>
      </x:c>
      <x:c r="B16" s="61" t="str">
        <x:v>₽</x:v>
      </x:c>
      <x:c r="C16" s="64" t="n">
        <x:v>200000</x:v>
      </x:c>
      <x:c r="D16" s="61" t="str">
        <x:v>Допущение</x:v>
      </x:c>
      <x:c r="E16" s="61" t="str">
        <x:v>Техническая оптимизация</x:v>
      </x:c>
      <x:c r="F16" s="61" t="str">
        <x:v>Исключение второго GPU-сервера без потери функций</x:v>
      </x:c>
      <x:c r="G16" s="63" t="n">
        <x:v>0</x:v>
      </x:c>
      <x:c r="H16" s="63" t="n">
        <x:v>400000</x:v>
      </x:c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61" t="str">
        <x:v>GPU после оптимизации</x:v>
      </x:c>
      <x:c r="B17" s="61" t="str">
        <x:v>₽</x:v>
      </x:c>
      <x:c r="C17" s="65" t="n">
        <x:f>MAX(0,C15-C16)</x:f>
        <x:v>200000</x:v>
      </x:c>
      <x:c r="D17" s="61" t="str">
        <x:v>Формула</x:v>
      </x:c>
      <x:c r="E17" s="61" t="str">
        <x:v>Расчет</x:v>
      </x:c>
      <x:c r="F17" s="61" t="str">
        <x:v>Исходная смета минус оптимизация</x:v>
      </x:c>
      <x:c r="G17" s="63" t="n">
        <x:v>0</x:v>
      </x:c>
      <x:c r="H17" s="63" t="n">
        <x:v>400000</x:v>
      </x:c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61" t="str">
        <x:v>Учитывать GPU в проекте</x:v>
      </x:c>
      <x:c r="B18" s="61" t="str">
        <x:v>0 / 1</x:v>
      </x:c>
      <x:c r="C18" s="62" t="n">
        <x:v>1</x:v>
      </x:c>
      <x:c r="D18" s="61" t="str">
        <x:v>Переключатель</x:v>
      </x:c>
      <x:c r="E18" s="61" t="str">
        <x:v>Проектное решение</x:v>
      </x:c>
      <x:c r="F18" s="61" t="str">
        <x:v>1 — включить; 0 — использовать имеющиеся мощности</x:v>
      </x:c>
      <x:c r="G18" s="63" t="n">
        <x:v>0</x:v>
      </x:c>
      <x:c r="H18" s="63" t="n">
        <x:v>1</x:v>
      </x:c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61" t="str">
        <x:v>Интеграция и обучение</x:v>
      </x:c>
      <x:c r="B19" s="61" t="str">
        <x:v>₽</x:v>
      </x:c>
      <x:c r="C19" s="64" t="n">
        <x:v>300000</x:v>
      </x:c>
      <x:c r="D19" s="61" t="str">
        <x:v>Допущение</x:v>
      </x:c>
      <x:c r="E19" s="61" t="str">
        <x:v>Проектная оценка</x:v>
      </x:c>
      <x:c r="F19" s="61" t="str">
        <x:v>Настройка, обучение пользователей, приемочные испытания</x:v>
      </x:c>
      <x:c r="G19" s="63" t="n">
        <x:v>0</x:v>
      </x:c>
      <x:c r="H19" s="63" t="n">
        <x:v>1000000</x:v>
      </x:c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61" t="str">
        <x:v>Резерв бюджета</x:v>
      </x:c>
      <x:c r="B20" s="61" t="str">
        <x:v>%</x:v>
      </x:c>
      <x:c r="C20" s="66" t="n">
        <x:v>0.1</x:v>
      </x:c>
      <x:c r="D20" s="61" t="str">
        <x:v>Допущение</x:v>
      </x:c>
      <x:c r="E20" s="61" t="str">
        <x:v>Проектная оценка</x:v>
      </x:c>
      <x:c r="F20" s="61" t="str">
        <x:v>Резерв на риски и уточнение объема</x:v>
      </x:c>
      <x:c r="G20" s="63" t="n">
        <x:v>0</x:v>
      </x:c>
      <x:c r="H20" s="63" t="n">
        <x:v>0.25</x:v>
      </x:c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61" t="str">
        <x:v>Сопровождение платформы</x:v>
      </x:c>
      <x:c r="B21" s="61" t="str">
        <x:v>ч/мес.</x:v>
      </x:c>
      <x:c r="C21" s="62" t="n">
        <x:v>40</x:v>
      </x:c>
      <x:c r="D21" s="61" t="str">
        <x:v>Допущение</x:v>
      </x:c>
      <x:c r="E21" s="61" t="str">
        <x:v>Проектная оценка</x:v>
      </x:c>
      <x:c r="F21" s="61" t="str">
        <x:v>Эксплуатационная поддержка после запуска</x:v>
      </x:c>
      <x:c r="G21" s="63" t="n">
        <x:v>0</x:v>
      </x:c>
      <x:c r="H21" s="63" t="n">
        <x:v>160</x:v>
      </x:c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61" t="str">
        <x:v>Эксплуатация инфраструктуры</x:v>
      </x:c>
      <x:c r="B22" s="61" t="str">
        <x:v>₽/год</x:v>
      </x:c>
      <x:c r="C22" s="64" t="n">
        <x:v>300000</x:v>
      </x:c>
      <x:c r="D22" s="61" t="str">
        <x:v>Допущение</x:v>
      </x:c>
      <x:c r="E22" s="61" t="str">
        <x:v>Проектная оценка</x:v>
      </x:c>
      <x:c r="F22" s="61" t="str">
        <x:v>Электроэнергия, обслуживание и резервное копирование</x:v>
      </x:c>
      <x:c r="G22" s="63" t="n">
        <x:v>0</x:v>
      </x:c>
      <x:c r="H22" s="63" t="n">
        <x:v>1000000</x:v>
      </x:c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61" t="str">
        <x:v>Лицензии и вендорская поддержка</x:v>
      </x:c>
      <x:c r="B23" s="61" t="str">
        <x:v>₽/год</x:v>
      </x:c>
      <x:c r="C23" s="64" t="n">
        <x:v>250000</x:v>
      </x:c>
      <x:c r="D23" s="61" t="str">
        <x:v>Допущение</x:v>
      </x:c>
      <x:c r="E23" s="61" t="str">
        <x:v>Резерв</x:v>
      </x:c>
      <x:c r="F23" s="61" t="str">
        <x:v>Уточняется закупочной процедурой; можно обнулить</x:v>
      </x:c>
      <x:c r="G23" s="63" t="n">
        <x:v>0</x:v>
      </x:c>
      <x:c r="H23" s="63" t="n">
        <x:v>2000000</x:v>
      </x:c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61" t="str">
        <x:v>Ставка дисконтирования</x:v>
      </x:c>
      <x:c r="B24" s="61" t="str">
        <x:v>%/год</x:v>
      </x:c>
      <x:c r="C24" s="327" t="n">
        <x:v>0.155</x:v>
      </x:c>
      <x:c r="D24" s="61" t="str">
        <x:v>Допущение</x:v>
      </x:c>
      <x:c r="E24" s="61" t="str">
        <x:v>Ключевая ставка Банка России + 1,5 п.п.</x:v>
      </x:c>
      <x:c r="F24" s="61" t="str">
        <x:v>14,0% + 1,5 п.п.; дата оценки 11.08.2026</x:v>
      </x:c>
      <x:c r="G24" s="63" t="n">
        <x:v>0</x:v>
      </x:c>
      <x:c r="H24" s="63" t="n">
        <x:v>0.3</x:v>
      </x:c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61" t="str">
        <x:v>Горизонт модели</x:v>
      </x:c>
      <x:c r="B25" s="61" t="str">
        <x:v>мес.</x:v>
      </x:c>
      <x:c r="C25" s="62" t="n">
        <x:v>36</x:v>
      </x:c>
      <x:c r="D25" s="61" t="str">
        <x:v>Допущение</x:v>
      </x:c>
      <x:c r="E25" s="61" t="str">
        <x:v>Финансовое допущение</x:v>
      </x:c>
      <x:c r="F25" s="61" t="str">
        <x:v>Период денежного потока</x:v>
      </x:c>
      <x:c r="G25" s="63" t="n">
        <x:v>12</x:v>
      </x:c>
      <x:c r="H25" s="63" t="n">
        <x:v>60</x:v>
      </x:c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61" t="str">
        <x:v>Цель экономии кейса</x:v>
      </x:c>
      <x:c r="B26" s="61" t="str">
        <x:v>₽/квартал</x:v>
      </x:c>
      <x:c r="C26" s="64" t="n">
        <x:v>1100000</x:v>
      </x:c>
      <x:c r="D26" s="61" t="str">
        <x:v>Контроль</x:v>
      </x:c>
      <x:c r="E26" s="61" t="str">
        <x:v>Материалы кейса</x:v>
      </x:c>
      <x:c r="F26" s="61" t="str">
        <x:v>Сравнивается с расчетом по актуальной ставке 2 000 ₽/ч</x:v>
      </x:c>
      <x:c r="G26" s="63" t="n">
        <x:v>0</x:v>
      </x:c>
      <x:c r="H26" s="63" t="n">
        <x:v>10000000</x:v>
      </x:c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67" t="str">
        <x:v>Сценарий 1 — служба технической поддержки / студенческий кейс</x:v>
      </x:c>
      <x:c r="B28" s="67"/>
      <x:c r="C28" s="67"/>
      <x:c r="D28" s="67"/>
      <x:c r="E28" s="67"/>
      <x:c r="F28" s="67"/>
      <x:c r="G28" s="67"/>
      <x:c r="H28" s="6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60" t="str">
        <x:v>Параметр</x:v>
      </x:c>
      <x:c r="B29" s="60" t="str">
        <x:v>Ед. изм.</x:v>
      </x:c>
      <x:c r="C29" s="60" t="str">
        <x:v>Значение</x:v>
      </x:c>
      <x:c r="D29" s="60" t="str">
        <x:v>Тип</x:v>
      </x:c>
      <x:c r="E29" s="60" t="str">
        <x:v>Основание</x:v>
      </x:c>
      <x:c r="F29" s="60" t="str">
        <x:v>Комментарий</x:v>
      </x:c>
      <x:c r="G29" s="60" t="str">
        <x:v>Мин.</x:v>
      </x:c>
      <x:c r="H29" s="60" t="str">
        <x:v>Макс.</x:v>
      </x:c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61" t="str">
        <x:v>Ручная обработка без платформы</x:v>
      </x:c>
      <x:c r="B30" s="61" t="str">
        <x:v>ч/день</x:v>
      </x:c>
      <x:c r="C30" s="68" t="n">
        <x:v>48</x:v>
      </x:c>
      <x:c r="D30" s="61" t="str">
        <x:v>Вход</x:v>
      </x:c>
      <x:c r="E30" s="61" t="str">
        <x:v>Материалы кейса</x:v>
      </x:c>
      <x:c r="F30" s="61" t="str">
        <x:v>Суммарная трудоемкость L1</x:v>
      </x:c>
      <x:c r="G30" s="61" t="n">
        <x:v>0</x:v>
      </x:c>
      <x:c r="H30" s="61" t="n">
        <x:v>100</x:v>
      </x:c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61" t="str">
        <x:v>Сокращение ручной обработки</x:v>
      </x:c>
      <x:c r="B31" s="61" t="str">
        <x:v>%</x:v>
      </x:c>
      <x:c r="C31" s="66" t="n">
        <x:v>0.6</x:v>
      </x:c>
      <x:c r="D31" s="61" t="str">
        <x:v>Сценарий</x:v>
      </x:c>
      <x:c r="E31" s="61" t="str">
        <x:v>Цель To-Be</x:v>
      </x:c>
      <x:c r="F31" s="61" t="str">
        <x:v>Базовое значение; консервативный диапазон 50–60%</x:v>
      </x:c>
      <x:c r="G31" s="61" t="n">
        <x:v>0.3</x:v>
      </x:c>
      <x:c r="H31" s="61" t="n">
        <x:v>0.7</x:v>
      </x:c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61" t="str">
        <x:v>Незамеченный простой без платформы</x:v>
      </x:c>
      <x:c r="B32" s="61" t="str">
        <x:v>мин/инцидент</x:v>
      </x:c>
      <x:c r="C32" s="68" t="n">
        <x:v>14</x:v>
      </x:c>
      <x:c r="D32" s="61" t="str">
        <x:v>Вход</x:v>
      </x:c>
      <x:c r="E32" s="61" t="str">
        <x:v>Материалы кейса</x:v>
      </x:c>
      <x:c r="F32" s="61" t="str">
        <x:v>Среднее время до реакции</x:v>
      </x:c>
      <x:c r="G32" s="61" t="n">
        <x:v>0</x:v>
      </x:c>
      <x:c r="H32" s="61" t="n">
        <x:v>60</x:v>
      </x:c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61" t="str">
        <x:v>Незамеченный простой с платформой</x:v>
      </x:c>
      <x:c r="B33" s="61" t="str">
        <x:v>мин/инцидент</x:v>
      </x:c>
      <x:c r="C33" s="68" t="n">
        <x:v>4</x:v>
      </x:c>
      <x:c r="D33" s="61" t="str">
        <x:v>Сценарий</x:v>
      </x:c>
      <x:c r="E33" s="61" t="str">
        <x:v>Проектная спецификация</x:v>
      </x:c>
      <x:c r="F33" s="61" t="str">
        <x:v>Целевое сокращение времени обнаружения</x:v>
      </x:c>
      <x:c r="G33" s="61" t="n">
        <x:v>0</x:v>
      </x:c>
      <x:c r="H33" s="61" t="n">
        <x:v>14</x:v>
      </x:c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61" t="str">
        <x:v>Ущерб за базовый инцидент</x:v>
      </x:c>
      <x:c r="B34" s="61" t="str">
        <x:v>₽</x:v>
      </x:c>
      <x:c r="C34" s="64" t="n">
        <x:v>3200000</x:v>
      </x:c>
      <x:c r="D34" s="61" t="str">
        <x:v>Вход</x:v>
      </x:c>
      <x:c r="E34" s="61" t="str">
        <x:v>Материалы кейса</x:v>
      </x:c>
      <x:c r="F34" s="61" t="str">
        <x:v>Ущерб соответствует 14 минутам простоя</x:v>
      </x:c>
      <x:c r="G34" s="61" t="n">
        <x:v>0</x:v>
      </x:c>
      <x:c r="H34" s="61" t="n">
        <x:v>10000000</x:v>
      </x:c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61" t="str">
        <x:v>Базовый интервал ущерба</x:v>
      </x:c>
      <x:c r="B35" s="61" t="str">
        <x:v>мин</x:v>
      </x:c>
      <x:c r="C35" s="68" t="n">
        <x:v>14</x:v>
      </x:c>
      <x:c r="D35" s="61" t="str">
        <x:v>Вход</x:v>
      </x:c>
      <x:c r="E35" s="61" t="str">
        <x:v>Материалы кейса</x:v>
      </x:c>
      <x:c r="F35" s="61" t="str">
        <x:v>Используется для расчета стоимости минуты</x:v>
      </x:c>
      <x:c r="G35" s="61" t="n">
        <x:v>1</x:v>
      </x:c>
      <x:c r="H35" s="61" t="n">
        <x:v>60</x:v>
      </x:c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61" t="str">
        <x:v>Критических инцидентов в год</x:v>
      </x:c>
      <x:c r="B36" s="61" t="str">
        <x:v>шт./год</x:v>
      </x:c>
      <x:c r="C36" s="68" t="n">
        <x:v>3</x:v>
      </x:c>
      <x:c r="D36" s="61" t="str">
        <x:v>Сценарий</x:v>
      </x:c>
      <x:c r="E36" s="61" t="str">
        <x:v>Проектная оценка</x:v>
      </x:c>
      <x:c r="F36" s="61" t="str">
        <x:v>Измените на фактическую статистику организации</x:v>
      </x:c>
      <x:c r="G36" s="61" t="n">
        <x:v>0</x:v>
      </x:c>
      <x:c r="H36" s="61" t="n">
        <x:v>100</x:v>
      </x:c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61" t="str">
        <x:v>Новых источников в год</x:v>
      </x:c>
      <x:c r="B37" s="61" t="str">
        <x:v>шт./год</x:v>
      </x:c>
      <x:c r="C37" s="68" t="n">
        <x:v>4</x:v>
      </x:c>
      <x:c r="D37" s="61" t="str">
        <x:v>Сценарий</x:v>
      </x:c>
      <x:c r="E37" s="61" t="str">
        <x:v>Проектная оценка</x:v>
      </x:c>
      <x:c r="F37" s="61" t="str">
        <x:v>Подключаемые системы мониторинга</x:v>
      </x:c>
      <x:c r="G37" s="61" t="n">
        <x:v>0</x:v>
      </x:c>
      <x:c r="H37" s="61" t="n">
        <x:v>20</x:v>
      </x:c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61" t="str">
        <x:v>Подключение источника без платформы</x:v>
      </x:c>
      <x:c r="B38" s="61" t="str">
        <x:v>ч/источник</x:v>
      </x:c>
      <x:c r="C38" s="68" t="n">
        <x:v>40</x:v>
      </x:c>
      <x:c r="D38" s="61" t="str">
        <x:v>Допущение</x:v>
      </x:c>
      <x:c r="E38" s="61" t="str">
        <x:v>Одна рабочая неделя</x:v>
      </x:c>
      <x:c r="F38" s="61" t="str">
        <x:v>Ручная интеграция и настройка маршрутов</x:v>
      </x:c>
      <x:c r="G38" s="61" t="n">
        <x:v>0</x:v>
      </x:c>
      <x:c r="H38" s="61" t="n">
        <x:v>160</x:v>
      </x:c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61" t="str">
        <x:v>Подключение источника с платформой</x:v>
      </x:c>
      <x:c r="B39" s="61" t="str">
        <x:v>ч/источник</x:v>
      </x:c>
      <x:c r="C39" s="68" t="n">
        <x:v>8</x:v>
      </x:c>
      <x:c r="D39" s="61" t="str">
        <x:v>Допущение</x:v>
      </x:c>
      <x:c r="E39" s="61" t="str">
        <x:v>Один рабочий день</x:v>
      </x:c>
      <x:c r="F39" s="61" t="str">
        <x:v>Использование готового API и шаблонов</x:v>
      </x:c>
      <x:c r="G39" s="61" t="n">
        <x:v>0</x:v>
      </x:c>
      <x:c r="H39" s="61" t="n">
        <x:v>80</x:v>
      </x:c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61" t="str">
        <x:v>Получателей P0 без платформы</x:v>
      </x:c>
      <x:c r="B40" s="61" t="str">
        <x:v>чел.</x:v>
      </x:c>
      <x:c r="C40" s="68" t="n">
        <x:v>200</x:v>
      </x:c>
      <x:c r="D40" s="61" t="str">
        <x:v>Вход</x:v>
      </x:c>
      <x:c r="E40" s="61" t="str">
        <x:v>Материалы кейса</x:v>
      </x:c>
      <x:c r="F40" s="61" t="str">
        <x:v>Массовая SMS-рассылка</x:v>
      </x:c>
      <x:c r="G40" s="61" t="n">
        <x:v>0</x:v>
      </x:c>
      <x:c r="H40" s="61" t="n">
        <x:v>500</x:v>
      </x:c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61" t="str">
        <x:v>Получателей P0 с платформой</x:v>
      </x:c>
      <x:c r="B41" s="61" t="str">
        <x:v>чел.</x:v>
      </x:c>
      <x:c r="C41" s="68" t="n">
        <x:v>2</x:v>
      </x:c>
      <x:c r="D41" s="61" t="str">
        <x:v>Цель</x:v>
      </x:c>
      <x:c r="E41" s="61" t="str">
        <x:v>Целевая модель</x:v>
      </x:c>
      <x:c r="F41" s="61" t="str">
        <x:v>Адресная доставка ответственным</x:v>
      </x:c>
      <x:c r="G41" s="61" t="n">
        <x:v>1</x:v>
      </x:c>
      <x:c r="H41" s="61" t="n">
        <x:v>50</x:v>
      </x:c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67" t="str">
        <x:v>Сценарий 2 — оператор технологической установки / НПЗ (МС)</x:v>
      </x:c>
      <x:c r="B43" s="67"/>
      <x:c r="C43" s="67"/>
      <x:c r="D43" s="67"/>
      <x:c r="E43" s="67"/>
      <x:c r="F43" s="67"/>
      <x:c r="G43" s="67"/>
      <x:c r="H43" s="6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60" t="str">
        <x:v>Параметр</x:v>
      </x:c>
      <x:c r="B44" s="60" t="str">
        <x:v>Ед. изм.</x:v>
      </x:c>
      <x:c r="C44" s="60" t="str">
        <x:v>Значение</x:v>
      </x:c>
      <x:c r="D44" s="60" t="str">
        <x:v>Тип</x:v>
      </x:c>
      <x:c r="E44" s="60" t="str">
        <x:v>Основание</x:v>
      </x:c>
      <x:c r="F44" s="60" t="str">
        <x:v>Комментарий</x:v>
      </x:c>
      <x:c r="G44" s="60" t="str">
        <x:v>Мин.</x:v>
      </x:c>
      <x:c r="H44" s="60" t="str">
        <x:v>Макс.</x:v>
      </x:c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61" t="str">
        <x:v>Ручная обработка без платформы</x:v>
      </x:c>
      <x:c r="B45" s="61" t="str">
        <x:v>ч/день</x:v>
      </x:c>
      <x:c r="C45" s="68" t="n">
        <x:v>24</x:v>
      </x:c>
      <x:c r="D45" s="61" t="str">
        <x:v>Сценарий</x:v>
      </x:c>
      <x:c r="E45" s="61" t="str">
        <x:v>Учебное допущение</x:v>
      </x:c>
      <x:c r="F45" s="61" t="str">
        <x:v>Суммарная нагрузка сменных операторов</x:v>
      </x:c>
      <x:c r="G45" s="61" t="n">
        <x:v>0</x:v>
      </x:c>
      <x:c r="H45" s="61" t="n">
        <x:v>100</x:v>
      </x:c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61" t="str">
        <x:v>Сокращение ручной обработки</x:v>
      </x:c>
      <x:c r="B46" s="61" t="str">
        <x:v>%</x:v>
      </x:c>
      <x:c r="C46" s="66" t="n">
        <x:v>0.5</x:v>
      </x:c>
      <x:c r="D46" s="61" t="str">
        <x:v>Сценарий</x:v>
      </x:c>
      <x:c r="E46" s="61" t="str">
        <x:v>Учебное допущение</x:v>
      </x:c>
      <x:c r="F46" s="61" t="str">
        <x:v>Консервативная оценка эффекта</x:v>
      </x:c>
      <x:c r="G46" s="61" t="n">
        <x:v>0.2</x:v>
      </x:c>
      <x:c r="H46" s="61" t="n">
        <x:v>0.7</x:v>
      </x:c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61" t="str">
        <x:v>Задержка реакции без платформы</x:v>
      </x:c>
      <x:c r="B47" s="61" t="str">
        <x:v>мин/инцидент</x:v>
      </x:c>
      <x:c r="C47" s="68" t="n">
        <x:v>14</x:v>
      </x:c>
      <x:c r="D47" s="61" t="str">
        <x:v>Сценарий</x:v>
      </x:c>
      <x:c r="E47" s="61" t="str">
        <x:v>Аналогия с кейсом</x:v>
      </x:c>
      <x:c r="F47" s="61" t="str">
        <x:v>Подлежит замене фактической статистикой АСУ ТП</x:v>
      </x:c>
      <x:c r="G47" s="61" t="n">
        <x:v>0</x:v>
      </x:c>
      <x:c r="H47" s="61" t="n">
        <x:v>120</x:v>
      </x:c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61" t="str">
        <x:v>Задержка реакции с платформой</x:v>
      </x:c>
      <x:c r="B48" s="61" t="str">
        <x:v>мин/инцидент</x:v>
      </x:c>
      <x:c r="C48" s="68" t="n">
        <x:v>4</x:v>
      </x:c>
      <x:c r="D48" s="61" t="str">
        <x:v>Сценарий</x:v>
      </x:c>
      <x:c r="E48" s="61" t="str">
        <x:v>Целевая модель</x:v>
      </x:c>
      <x:c r="F48" s="61" t="str">
        <x:v>Автоматическая адресная доставка и эскалация</x:v>
      </x:c>
      <x:c r="G48" s="61" t="n">
        <x:v>0</x:v>
      </x:c>
      <x:c r="H48" s="61" t="n">
        <x:v>30</x:v>
      </x:c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61" t="str">
        <x:v>Стоимость простоя установки</x:v>
      </x:c>
      <x:c r="B49" s="61" t="str">
        <x:v>₽/сутки</x:v>
      </x:c>
      <x:c r="C49" s="64" t="n">
        <x:v>150000000</x:v>
      </x:c>
      <x:c r="D49" s="61" t="str">
        <x:v>Вход</x:v>
      </x:c>
      <x:c r="E49" s="61" t="str">
        <x:v>Условие задачи</x:v>
      </x:c>
      <x:c r="F49" s="61" t="str">
        <x:v>Учебная оценка потерь НПЗ</x:v>
      </x:c>
      <x:c r="G49" s="61" t="n">
        <x:v>0</x:v>
      </x:c>
      <x:c r="H49" s="61" t="n">
        <x:v>500000000</x:v>
      </x:c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61" t="str">
        <x:v>Критических инцидентов в год</x:v>
      </x:c>
      <x:c r="B50" s="61" t="str">
        <x:v>шт./год</x:v>
      </x:c>
      <x:c r="C50" s="68" t="n">
        <x:v>6</x:v>
      </x:c>
      <x:c r="D50" s="61" t="str">
        <x:v>Сценарий</x:v>
      </x:c>
      <x:c r="E50" s="61" t="str">
        <x:v>Учебное допущение</x:v>
      </x:c>
      <x:c r="F50" s="61" t="str">
        <x:v>Измените на статистику предприятия</x:v>
      </x:c>
      <x:c r="G50" s="61" t="n">
        <x:v>0</x:v>
      </x:c>
      <x:c r="H50" s="61" t="n">
        <x:v>100</x:v>
      </x:c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61" t="str">
        <x:v>Новых источников в год</x:v>
      </x:c>
      <x:c r="B51" s="61" t="str">
        <x:v>шт./год</x:v>
      </x:c>
      <x:c r="C51" s="68" t="n">
        <x:v>2</x:v>
      </x:c>
      <x:c r="D51" s="61" t="str">
        <x:v>Сценарий</x:v>
      </x:c>
      <x:c r="E51" s="61" t="str">
        <x:v>Учебное допущение</x:v>
      </x:c>
      <x:c r="F51" s="61" t="str">
        <x:v>Контроллеры, SCADA и смежные системы</x:v>
      </x:c>
      <x:c r="G51" s="61" t="n">
        <x:v>0</x:v>
      </x:c>
      <x:c r="H51" s="61" t="n">
        <x:v>20</x:v>
      </x:c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61" t="str">
        <x:v>Подключение источника без платформы</x:v>
      </x:c>
      <x:c r="B52" s="61" t="str">
        <x:v>ч/источник</x:v>
      </x:c>
      <x:c r="C52" s="68" t="n">
        <x:v>40</x:v>
      </x:c>
      <x:c r="D52" s="61" t="str">
        <x:v>Допущение</x:v>
      </x:c>
      <x:c r="E52" s="61" t="str">
        <x:v>Одна рабочая неделя</x:v>
      </x:c>
      <x:c r="F52" s="61" t="str">
        <x:v>Согласование и ручная настройка</x:v>
      </x:c>
      <x:c r="G52" s="61" t="n">
        <x:v>0</x:v>
      </x:c>
      <x:c r="H52" s="61" t="n">
        <x:v>160</x:v>
      </x:c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61" t="str">
        <x:v>Подключение источника с платформой</x:v>
      </x:c>
      <x:c r="B53" s="61" t="str">
        <x:v>ч/источник</x:v>
      </x:c>
      <x:c r="C53" s="68" t="n">
        <x:v>8</x:v>
      </x:c>
      <x:c r="D53" s="61" t="str">
        <x:v>Допущение</x:v>
      </x:c>
      <x:c r="E53" s="61" t="str">
        <x:v>Один рабочий день</x:v>
      </x:c>
      <x:c r="F53" s="61" t="str">
        <x:v>Шаблоны и стандартизованный шлюз</x:v>
      </x:c>
      <x:c r="G53" s="61" t="n">
        <x:v>0</x:v>
      </x:c>
      <x:c r="H53" s="61" t="n">
        <x:v>80</x:v>
      </x:c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61" t="str">
        <x:v>Получателей P0 без платформы</x:v>
      </x:c>
      <x:c r="B54" s="61" t="str">
        <x:v>чел.</x:v>
      </x:c>
      <x:c r="C54" s="68" t="n">
        <x:v>50</x:v>
      </x:c>
      <x:c r="D54" s="61" t="str">
        <x:v>Сценарий</x:v>
      </x:c>
      <x:c r="E54" s="61" t="str">
        <x:v>Учебное допущение</x:v>
      </x:c>
      <x:c r="F54" s="61" t="str">
        <x:v>Рассылка широкому кругу</x:v>
      </x:c>
      <x:c r="G54" s="61" t="n">
        <x:v>0</x:v>
      </x:c>
      <x:c r="H54" s="61" t="n">
        <x:v>200</x:v>
      </x:c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61" t="str">
        <x:v>Получателей P0 с платформой</x:v>
      </x:c>
      <x:c r="B55" s="61" t="str">
        <x:v>чел.</x:v>
      </x:c>
      <x:c r="C55" s="68" t="n">
        <x:v>2</x:v>
      </x:c>
      <x:c r="D55" s="61" t="str">
        <x:v>Цель</x:v>
      </x:c>
      <x:c r="E55" s="61" t="str">
        <x:v>Целевая модель</x:v>
      </x:c>
      <x:c r="F55" s="61" t="str">
        <x:v>Оператор и ответственный руководитель</x:v>
      </x:c>
      <x:c r="G55" s="61" t="n">
        <x:v>1</x:v>
      </x:c>
      <x:c r="H55" s="61" t="n">
        <x:v>20</x:v>
      </x:c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69" t="str">
        <x:v>Важно: модель является учебной. До инвестиционного решения необходимо заменить сценарные значения фактической статистикой инцидентов, актами простоев, трудозатратами, коммерческими предложениями и условиями лицензирования.</x:v>
      </x:c>
      <x:c r="B57" s="69"/>
      <x:c r="C57" s="69"/>
      <x:c r="D57" s="69"/>
      <x:c r="E57" s="69"/>
      <x:c r="F57" s="69"/>
      <x:c r="G57" s="69"/>
      <x:c r="H57" s="69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H2"/>
    <x:mergeCell ref="A3:H3"/>
    <x:mergeCell ref="A4:B4"/>
    <x:mergeCell ref="E4:H4"/>
    <x:mergeCell ref="A6:H6"/>
    <x:mergeCell ref="A28:H28"/>
    <x:mergeCell ref="A43:H43"/>
    <x:mergeCell ref="A57:H59"/>
  </x:mergeCells>
  <x:dataValidations count="1">
    <x:dataValidation type="list" sqref="C4">
      <x:formula1>"Студенты,НПЗ / МС"</x:formula1>
    </x:dataValidation>
  </x:dataValidations>
  <x:pageMargins left="0.7" right="0.7" top="0.75" bottom="0.75" header="0.3" footer="0.3"/>
  <x:legacyDrawing xmlns:r="http://schemas.openxmlformats.org/officeDocument/2006/relationships" r:id="R48bc1d08f1064516"/>
</x:worksheet>
</file>

<file path=xl/worksheets/sheet2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53" t="str">
        <x:v>Без платформы и с платформой</x:v>
      </x:c>
      <x:c r="B1" s="53"/>
      <x:c r="C1" s="53"/>
      <x:c r="D1" s="53"/>
      <x:c r="E1" s="53"/>
      <x:c r="F1" s="53"/>
      <x:c r="G1" s="53"/>
      <x:c r="H1" s="53"/>
      <x:c r="I1" s="53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Расчет времени, прямых затрат и экономического эффекта по двум сценариям.</x:v>
      </x:c>
      <x:c r="B3" s="54"/>
      <x:c r="C3" s="54"/>
      <x:c r="D3" s="54"/>
      <x:c r="E3" s="54"/>
      <x:c r="F3" s="54"/>
      <x:c r="G3" s="54"/>
      <x:c r="H3" s="54"/>
      <x:c r="I3" s="54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59" t="str">
        <x:v>Операционный эффект</x:v>
      </x:c>
      <x:c r="B5" s="59"/>
      <x:c r="C5" s="59"/>
      <x:c r="D5" s="59"/>
      <x:c r="E5" s="59"/>
      <x:c r="F5" s="59"/>
      <x:c r="G5" s="59"/>
      <x:c r="H5" s="59"/>
      <x:c r="I5" s="59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60" t="str">
        <x:v>Показатель</x:v>
      </x:c>
      <x:c r="B6" s="60" t="str">
        <x:v>Студенты: без</x:v>
      </x:c>
      <x:c r="C6" s="60" t="str">
        <x:v>Студенты: с</x:v>
      </x:c>
      <x:c r="D6" s="60" t="str">
        <x:v>Экономия</x:v>
      </x:c>
      <x:c r="E6" s="60" t="str">
        <x:v>Эффект</x:v>
      </x:c>
      <x:c r="F6" s="60" t="str">
        <x:v>НПЗ: без</x:v>
      </x:c>
      <x:c r="G6" s="60" t="str">
        <x:v>НПЗ: с</x:v>
      </x:c>
      <x:c r="H6" s="60" t="str">
        <x:v>Экономия</x:v>
      </x:c>
      <x:c r="I6" s="60" t="str">
        <x:v>Эффект</x:v>
      </x:c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61" t="str">
        <x:v>Ручная обработка, ч/день</x:v>
      </x:c>
      <x:c r="B7" s="257" t="n">
        <x:f>'Допущения'!$C$30</x:f>
        <x:v>48</x:v>
      </x:c>
      <x:c r="C7" s="257" t="n">
        <x:f>B7*(1-'Допущения'!$C$31)</x:f>
        <x:v>19.200000000000003</x:v>
      </x:c>
      <x:c r="D7" s="258" t="n">
        <x:f>B7-C7</x:f>
        <x:v>28.799999999999997</x:v>
      </x:c>
      <x:c r="E7" s="259" t="n">
        <x:f>D7/B7</x:f>
        <x:v>0.6</x:v>
      </x:c>
      <x:c r="F7" s="257" t="n">
        <x:f>'Допущения'!$C$45</x:f>
        <x:v>24</x:v>
      </x:c>
      <x:c r="G7" s="257" t="n">
        <x:f>F7*(1-'Допущения'!$C$46)</x:f>
        <x:v>12</x:v>
      </x:c>
      <x:c r="H7" s="258" t="n">
        <x:f>F7-G7</x:f>
        <x:v>12</x:v>
      </x:c>
      <x:c r="I7" s="259" t="n">
        <x:f>H7/F7</x:f>
        <x:v>0.5</x:v>
      </x:c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61" t="str">
        <x:v>Ручная обработка, ч/год</x:v>
      </x:c>
      <x:c r="B8" s="257" t="n">
        <x:f>B7*'Допущения'!$C$8</x:f>
        <x:v>17520</x:v>
      </x:c>
      <x:c r="C8" s="257" t="n">
        <x:f>C7*'Допущения'!$C$8</x:f>
        <x:v>7008.000000000001</x:v>
      </x:c>
      <x:c r="D8" s="258" t="n">
        <x:f>B8-C8</x:f>
        <x:v>10512</x:v>
      </x:c>
      <x:c r="E8" s="259" t="n">
        <x:f>D8/B8</x:f>
        <x:v>0.6</x:v>
      </x:c>
      <x:c r="F8" s="257" t="n">
        <x:f>F7*'Допущения'!$C$8</x:f>
        <x:v>8760</x:v>
      </x:c>
      <x:c r="G8" s="257" t="n">
        <x:f>G7*'Допущения'!$C$8</x:f>
        <x:v>4380</x:v>
      </x:c>
      <x:c r="H8" s="258" t="n">
        <x:f>F8-G8</x:f>
        <x:v>4380</x:v>
      </x:c>
      <x:c r="I8" s="259" t="n">
        <x:f>H8/F8</x:f>
        <x:v>0.5</x:v>
      </x:c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61" t="str">
        <x:v>Трудозатраты поддержки / операторов, ₽/год</x:v>
      </x:c>
      <x:c r="B9" s="260" t="n">
        <x:f>B8*'Допущения'!$C$9</x:f>
        <x:v>35040000</x:v>
      </x:c>
      <x:c r="C9" s="260" t="n">
        <x:f>C8*'Допущения'!$C$9</x:f>
        <x:v>14016000.000000002</x:v>
      </x:c>
      <x:c r="D9" s="261" t="n">
        <x:f>B9-C9</x:f>
        <x:v>21024000</x:v>
      </x:c>
      <x:c r="E9" s="259" t="n">
        <x:f>D9/B9</x:f>
        <x:v>0.6</x:v>
      </x:c>
      <x:c r="F9" s="260" t="n">
        <x:f>F8*'Допущения'!$C$9</x:f>
        <x:v>17520000</x:v>
      </x:c>
      <x:c r="G9" s="260" t="n">
        <x:f>G8*'Допущения'!$C$9</x:f>
        <x:v>8760000</x:v>
      </x:c>
      <x:c r="H9" s="261" t="n">
        <x:f>F9-G9</x:f>
        <x:v>8760000</x:v>
      </x:c>
      <x:c r="I9" s="259" t="n">
        <x:f>H9/F9</x:f>
        <x:v>0.5</x:v>
      </x:c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61" t="str">
        <x:v>Задержка реакции, мин/инцидент</x:v>
      </x:c>
      <x:c r="B10" s="262" t="n">
        <x:f>'Допущения'!$C$32</x:f>
        <x:v>14</x:v>
      </x:c>
      <x:c r="C10" s="262" t="n">
        <x:f>'Допущения'!$C$33</x:f>
        <x:v>4</x:v>
      </x:c>
      <x:c r="D10" s="263" t="n">
        <x:f>B10-C10</x:f>
        <x:v>10</x:v>
      </x:c>
      <x:c r="E10" s="259" t="n">
        <x:f>D10/B10</x:f>
        <x:v>0.7142857142857143</x:v>
      </x:c>
      <x:c r="F10" s="262" t="n">
        <x:f>'Допущения'!$C$47</x:f>
        <x:v>14</x:v>
      </x:c>
      <x:c r="G10" s="262" t="n">
        <x:f>'Допущения'!$C$48</x:f>
        <x:v>4</x:v>
      </x:c>
      <x:c r="H10" s="263" t="n">
        <x:f>F10-G10</x:f>
        <x:v>10</x:v>
      </x:c>
      <x:c r="I10" s="259" t="n">
        <x:f>H10/F10</x:f>
        <x:v>0.7142857142857143</x:v>
      </x:c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61" t="str">
        <x:v>Стоимость минуты простоя, ₽</x:v>
      </x:c>
      <x:c r="B11" s="260" t="n">
        <x:f>'Допущения'!$C$34/'Допущения'!$C$35</x:f>
        <x:v>228571.42857142858</x:v>
      </x:c>
      <x:c r="C11" s="260" t="n">
        <x:f>B11</x:f>
        <x:v>228571.42857142858</x:v>
      </x:c>
      <x:c r="D11" s="261" t="n">
        <x:f>0</x:f>
        <x:v>0</x:v>
      </x:c>
      <x:c r="E11" s="259" t="n">
        <x:f>0</x:f>
        <x:v>0</x:v>
      </x:c>
      <x:c r="F11" s="260" t="n">
        <x:f>'Допущения'!$C$49/1440</x:f>
        <x:v>104166.66666666667</x:v>
      </x:c>
      <x:c r="G11" s="260" t="n">
        <x:f>F11</x:f>
        <x:v>104166.66666666667</x:v>
      </x:c>
      <x:c r="H11" s="261" t="n">
        <x:f>0</x:f>
        <x:v>0</x:v>
      </x:c>
      <x:c r="I11" s="259" t="n">
        <x:f>0</x:f>
        <x:v>0</x:v>
      </x:c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61" t="str">
        <x:v>Критические инциденты, шт./год</x:v>
      </x:c>
      <x:c r="B12" s="264" t="n">
        <x:f>'Допущения'!$C$36</x:f>
        <x:v>3</x:v>
      </x:c>
      <x:c r="C12" s="264" t="n">
        <x:f>'Допущения'!$C$36</x:f>
        <x:v>3</x:v>
      </x:c>
      <x:c r="D12" s="265" t="n">
        <x:f>0</x:f>
        <x:v>0</x:v>
      </x:c>
      <x:c r="E12" s="259" t="n">
        <x:f>0</x:f>
        <x:v>0</x:v>
      </x:c>
      <x:c r="F12" s="264" t="n">
        <x:f>'Допущения'!$C$50</x:f>
        <x:v>6</x:v>
      </x:c>
      <x:c r="G12" s="264" t="n">
        <x:f>'Допущения'!$C$50</x:f>
        <x:v>6</x:v>
      </x:c>
      <x:c r="H12" s="265" t="n">
        <x:f>0</x:f>
        <x:v>0</x:v>
      </x:c>
      <x:c r="I12" s="259" t="n">
        <x:f>0</x:f>
        <x:v>0</x:v>
      </x:c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61" t="str">
        <x:v>Потери от простоев, ₽/год</x:v>
      </x:c>
      <x:c r="B13" s="260" t="n">
        <x:f>B10*B11*B12</x:f>
        <x:v>9600000</x:v>
      </x:c>
      <x:c r="C13" s="260" t="n">
        <x:f>C10*C11*C12</x:f>
        <x:v>2742857.1428571427</x:v>
      </x:c>
      <x:c r="D13" s="261" t="n">
        <x:f>B13-C13</x:f>
        <x:v>6857142.857142857</x:v>
      </x:c>
      <x:c r="E13" s="259" t="n">
        <x:f>D13/B13</x:f>
        <x:v>0.7142857142857143</x:v>
      </x:c>
      <x:c r="F13" s="260" t="n">
        <x:f>F10*F11*F12</x:f>
        <x:v>8750000</x:v>
      </x:c>
      <x:c r="G13" s="260" t="n">
        <x:f>G10*G11*G12</x:f>
        <x:v>2500000</x:v>
      </x:c>
      <x:c r="H13" s="261" t="n">
        <x:f>F13-G13</x:f>
        <x:v>6250000</x:v>
      </x:c>
      <x:c r="I13" s="259" t="n">
        <x:f>H13/F13</x:f>
        <x:v>0.7142857142857143</x:v>
      </x:c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61" t="str">
        <x:v>Новые источники, шт./год</x:v>
      </x:c>
      <x:c r="B14" s="257" t="n">
        <x:f>'Допущения'!$C$37</x:f>
        <x:v>4</x:v>
      </x:c>
      <x:c r="C14" s="257" t="n">
        <x:f>'Допущения'!$C$37</x:f>
        <x:v>4</x:v>
      </x:c>
      <x:c r="D14" s="258" t="n">
        <x:f>0</x:f>
        <x:v>0</x:v>
      </x:c>
      <x:c r="E14" s="259" t="n">
        <x:f>0</x:f>
        <x:v>0</x:v>
      </x:c>
      <x:c r="F14" s="257" t="n">
        <x:f>'Допущения'!$C$51</x:f>
        <x:v>2</x:v>
      </x:c>
      <x:c r="G14" s="257" t="n">
        <x:f>'Допущения'!$C$51</x:f>
        <x:v>2</x:v>
      </x:c>
      <x:c r="H14" s="258" t="n">
        <x:f>0</x:f>
        <x:v>0</x:v>
      </x:c>
      <x:c r="I14" s="259" t="n">
        <x:f>0</x:f>
        <x:v>0</x:v>
      </x:c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61" t="str">
        <x:v>Подключение источника, ч/источник</x:v>
      </x:c>
      <x:c r="B15" s="257" t="n">
        <x:f>'Допущения'!$C$38</x:f>
        <x:v>40</x:v>
      </x:c>
      <x:c r="C15" s="257" t="n">
        <x:f>'Допущения'!$C$39</x:f>
        <x:v>8</x:v>
      </x:c>
      <x:c r="D15" s="258" t="n">
        <x:f>B15-C15</x:f>
        <x:v>32</x:v>
      </x:c>
      <x:c r="E15" s="259" t="n">
        <x:f>D15/B15</x:f>
        <x:v>0.8</x:v>
      </x:c>
      <x:c r="F15" s="257" t="n">
        <x:f>'Допущения'!$C$52</x:f>
        <x:v>40</x:v>
      </x:c>
      <x:c r="G15" s="257" t="n">
        <x:f>'Допущения'!$C$53</x:f>
        <x:v>8</x:v>
      </x:c>
      <x:c r="H15" s="258" t="n">
        <x:f>F15-G15</x:f>
        <x:v>32</x:v>
      </x:c>
      <x:c r="I15" s="259" t="n">
        <x:f>H15/F15</x:f>
        <x:v>0.8</x:v>
      </x:c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61" t="str">
        <x:v>Подключение источников, ч/год</x:v>
      </x:c>
      <x:c r="B16" s="257" t="n">
        <x:f>B14*B15</x:f>
        <x:v>160</x:v>
      </x:c>
      <x:c r="C16" s="257" t="n">
        <x:f>C14*C15</x:f>
        <x:v>32</x:v>
      </x:c>
      <x:c r="D16" s="258" t="n">
        <x:f>B16-C16</x:f>
        <x:v>128</x:v>
      </x:c>
      <x:c r="E16" s="259" t="n">
        <x:f>D16/B16</x:f>
        <x:v>0.8</x:v>
      </x:c>
      <x:c r="F16" s="257" t="n">
        <x:f>F14*F15</x:f>
        <x:v>80</x:v>
      </x:c>
      <x:c r="G16" s="257" t="n">
        <x:f>G14*G15</x:f>
        <x:v>16</x:v>
      </x:c>
      <x:c r="H16" s="258" t="n">
        <x:f>F16-G16</x:f>
        <x:v>64</x:v>
      </x:c>
      <x:c r="I16" s="259" t="n">
        <x:f>H16/F16</x:f>
        <x:v>0.8</x:v>
      </x:c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61" t="str">
        <x:v>Подключение источников, ₽/год</x:v>
      </x:c>
      <x:c r="B17" s="260" t="n">
        <x:f>B16*'Допущения'!$C$10</x:f>
        <x:v>560000</x:v>
      </x:c>
      <x:c r="C17" s="260" t="n">
        <x:f>C16*'Допущения'!$C$10</x:f>
        <x:v>112000</x:v>
      </x:c>
      <x:c r="D17" s="261" t="n">
        <x:f>B17-C17</x:f>
        <x:v>448000</x:v>
      </x:c>
      <x:c r="E17" s="259" t="n">
        <x:f>D17/B17</x:f>
        <x:v>0.8</x:v>
      </x:c>
      <x:c r="F17" s="260" t="n">
        <x:f>F16*'Допущения'!$C$10</x:f>
        <x:v>280000</x:v>
      </x:c>
      <x:c r="G17" s="260" t="n">
        <x:f>G16*'Допущения'!$C$10</x:f>
        <x:v>56000</x:v>
      </x:c>
      <x:c r="H17" s="261" t="n">
        <x:f>F17-G17</x:f>
        <x:v>224000</x:v>
      </x:c>
      <x:c r="I17" s="259" t="n">
        <x:f>H17/F17</x:f>
        <x:v>0.8</x:v>
      </x:c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266" t="str">
        <x:v>ИТОГО прямые затраты, ₽/год</x:v>
      </x:c>
      <x:c r="B18" s="267" t="n">
        <x:f>B9+B13+B17</x:f>
        <x:v>45200000</x:v>
      </x:c>
      <x:c r="C18" s="267" t="n">
        <x:f>C9+C13+C17</x:f>
        <x:v>16870857.142857146</x:v>
      </x:c>
      <x:c r="D18" s="268" t="n">
        <x:f>B18-C18</x:f>
        <x:v>28329142.857142854</x:v>
      </x:c>
      <x:c r="E18" s="269" t="n">
        <x:f>D18/B18</x:f>
        <x:v>0.6267509481668773</x:v>
      </x:c>
      <x:c r="F18" s="65" t="n">
        <x:f>F9+F13+F17</x:f>
        <x:v>26550000</x:v>
      </x:c>
      <x:c r="G18" s="65" t="n">
        <x:f>G9+G13+G17</x:f>
        <x:v>11316000</x:v>
      </x:c>
      <x:c r="H18" s="268" t="n">
        <x:f>F18-G18</x:f>
        <x:v>15234000</x:v>
      </x:c>
      <x:c r="I18" s="269" t="n">
        <x:f>H18/F18</x:f>
        <x:v>0.5737853107344633</x:v>
      </x:c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66" t="str">
        <x:v>Экономия, ₽/год</x:v>
      </x:c>
      <x:c r="B19" s="267"/>
      <x:c r="C19" s="267"/>
      <x:c r="D19" s="268" t="n">
        <x:f>D18</x:f>
        <x:v>28329142.857142854</x:v>
      </x:c>
      <x:c r="E19" s="269" t="n">
        <x:f>E18</x:f>
        <x:v>0.6267509481668773</x:v>
      </x:c>
      <x:c r="F19" s="65"/>
      <x:c r="G19" s="65"/>
      <x:c r="H19" s="268" t="n">
        <x:f>H18</x:f>
        <x:v>15234000</x:v>
      </x:c>
      <x:c r="I19" s="269" t="n">
        <x:f>I18</x:f>
        <x:v>0.5737853107344633</x:v>
      </x:c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66" t="str">
        <x:v>Сокращение прямых затрат, %</x:v>
      </x:c>
      <x:c r="B20" s="270"/>
      <x:c r="C20" s="270"/>
      <x:c r="D20" s="269" t="n">
        <x:f>E18</x:f>
        <x:v>0.6267509481668773</x:v>
      </x:c>
      <x:c r="E20" s="269" t="n">
        <x:f>E18</x:f>
        <x:v>0.6267509481668773</x:v>
      </x:c>
      <x:c r="F20" s="271"/>
      <x:c r="G20" s="271"/>
      <x:c r="H20" s="269" t="n">
        <x:f>I18</x:f>
        <x:v>0.5737853107344633</x:v>
      </x:c>
      <x:c r="I20" s="269" t="n">
        <x:f>I18</x:f>
        <x:v>0.5737853107344633</x:v>
      </x:c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61" t="str">
        <x:v>Сэкономлено труда поддержки / операторов, ч/год</x:v>
      </x:c>
      <x:c r="B21" s="257" t="n">
        <x:f>B8</x:f>
        <x:v>17520</x:v>
      </x:c>
      <x:c r="C21" s="257" t="n">
        <x:f>C8</x:f>
        <x:v>7008.000000000001</x:v>
      </x:c>
      <x:c r="D21" s="258" t="n">
        <x:f>D8</x:f>
        <x:v>10512</x:v>
      </x:c>
      <x:c r="E21" s="259" t="n">
        <x:f>E8</x:f>
        <x:v>0.6</x:v>
      </x:c>
      <x:c r="F21" s="257" t="n">
        <x:f>F8</x:f>
        <x:v>8760</x:v>
      </x:c>
      <x:c r="G21" s="257" t="n">
        <x:f>G8</x:f>
        <x:v>4380</x:v>
      </x:c>
      <x:c r="H21" s="258" t="n">
        <x:f>H8</x:f>
        <x:v>4380</x:v>
      </x:c>
      <x:c r="I21" s="259" t="n">
        <x:f>I8</x:f>
        <x:v>0.5</x:v>
      </x:c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61" t="str">
        <x:v>Сэкономлено времени проектной команды, ч/год</x:v>
      </x:c>
      <x:c r="B22" s="257" t="n">
        <x:f>B16</x:f>
        <x:v>160</x:v>
      </x:c>
      <x:c r="C22" s="257" t="n">
        <x:f>C16</x:f>
        <x:v>32</x:v>
      </x:c>
      <x:c r="D22" s="258" t="n">
        <x:f>D16</x:f>
        <x:v>128</x:v>
      </x:c>
      <x:c r="E22" s="259" t="n">
        <x:f>E16</x:f>
        <x:v>0.8</x:v>
      </x:c>
      <x:c r="F22" s="257" t="n">
        <x:f>F16</x:f>
        <x:v>80</x:v>
      </x:c>
      <x:c r="G22" s="257" t="n">
        <x:f>G16</x:f>
        <x:v>16</x:v>
      </x:c>
      <x:c r="H22" s="258" t="n">
        <x:f>H16</x:f>
        <x:v>64</x:v>
      </x:c>
      <x:c r="I22" s="259" t="n">
        <x:f>I16</x:f>
        <x:v>0.8</x:v>
      </x:c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61" t="str">
        <x:v>Сокращение задержки простоев, мин/год</x:v>
      </x:c>
      <x:c r="B23" s="262" t="n">
        <x:f>B10*B12</x:f>
        <x:v>42</x:v>
      </x:c>
      <x:c r="C23" s="262" t="n">
        <x:f>C10*C12</x:f>
        <x:v>12</x:v>
      </x:c>
      <x:c r="D23" s="263" t="n">
        <x:f>B23-C23</x:f>
        <x:v>30</x:v>
      </x:c>
      <x:c r="E23" s="259" t="n">
        <x:f>D23/B23</x:f>
        <x:v>0.7142857142857143</x:v>
      </x:c>
      <x:c r="F23" s="262" t="n">
        <x:f>F10*F12</x:f>
        <x:v>84</x:v>
      </x:c>
      <x:c r="G23" s="262" t="n">
        <x:f>G10*G12</x:f>
        <x:v>24</x:v>
      </x:c>
      <x:c r="H23" s="263" t="n">
        <x:f>F23-G23</x:f>
        <x:v>60</x:v>
      </x:c>
      <x:c r="I23" s="259" t="n">
        <x:f>H23/F23</x:f>
        <x:v>0.7142857142857143</x:v>
      </x:c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61" t="str">
        <x:v>Адресаты P0, чел.</x:v>
      </x:c>
      <x:c r="B24" s="257" t="n">
        <x:f>'Допущения'!$C$40</x:f>
        <x:v>200</x:v>
      </x:c>
      <x:c r="C24" s="257" t="n">
        <x:f>'Допущения'!$C$41</x:f>
        <x:v>2</x:v>
      </x:c>
      <x:c r="D24" s="258" t="n">
        <x:f>B24-C24</x:f>
        <x:v>198</x:v>
      </x:c>
      <x:c r="E24" s="259" t="n">
        <x:f>D24/B24</x:f>
        <x:v>0.99</x:v>
      </x:c>
      <x:c r="F24" s="257" t="n">
        <x:f>'Допущения'!$C$54</x:f>
        <x:v>50</x:v>
      </x:c>
      <x:c r="G24" s="257" t="n">
        <x:f>'Допущения'!$C$55</x:f>
        <x:v>2</x:v>
      </x:c>
      <x:c r="H24" s="258" t="n">
        <x:f>F24-G24</x:f>
        <x:v>48</x:v>
      </x:c>
      <x:c r="I24" s="259" t="n">
        <x:f>H24/F24</x:f>
        <x:v>0.96</x:v>
      </x:c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61" t="str">
        <x:v>Сокращение адресатов P0, %</x:v>
      </x:c>
      <x:c r="B25" s="272"/>
      <x:c r="C25" s="272"/>
      <x:c r="D25" s="259" t="n">
        <x:f>E24</x:f>
        <x:v>0.99</x:v>
      </x:c>
      <x:c r="E25" s="259" t="n">
        <x:f>E24</x:f>
        <x:v>0.99</x:v>
      </x:c>
      <x:c r="F25" s="272"/>
      <x:c r="G25" s="272"/>
      <x:c r="H25" s="259" t="n">
        <x:f>I24</x:f>
        <x:v>0.96</x:v>
      </x:c>
      <x:c r="I25" s="259" t="n">
        <x:f>I24</x:f>
        <x:v>0.96</x:v>
      </x:c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61" t="str">
        <x:v>Цель кейса по трудозатратам, ₽/год</x:v>
      </x:c>
      <x:c r="B26" s="260" t="n">
        <x:f>'Допущения'!$C$26*4</x:f>
        <x:v>4400000</x:v>
      </x:c>
      <x:c r="C26" s="260"/>
      <x:c r="D26" s="261" t="n">
        <x:f>D9</x:f>
        <x:v>21024000</x:v>
      </x:c>
      <x:c r="E26" s="273" t="n">
        <x:f>D26/B26</x:f>
        <x:v>4.778181818181818</x:v>
      </x:c>
      <x:c r="F26" s="257"/>
      <x:c r="G26" s="257"/>
      <x:c r="H26" s="258"/>
      <x:c r="I26" s="258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61" t="str">
        <x:v>Превышение цели кейса по трудозатратам, ₽/год</x:v>
      </x:c>
      <x:c r="B27" s="260" t="n">
        <x:f>D9</x:f>
        <x:v>21024000</x:v>
      </x:c>
      <x:c r="C27" s="260" t="n">
        <x:f>B26</x:f>
        <x:v>4400000</x:v>
      </x:c>
      <x:c r="D27" s="261" t="n">
        <x:f>B27-C27</x:f>
        <x:v>16624000</x:v>
      </x:c>
      <x:c r="E27" s="259" t="n">
        <x:f>D27/B26</x:f>
        <x:v>3.7781818181818183</x:v>
      </x:c>
      <x:c r="F27" s="257"/>
      <x:c r="G27" s="257"/>
      <x:c r="H27" s="258"/>
      <x:c r="I27" s="258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67" t="str">
        <x:v>Проектный бюджет и ежегодные эксплуатационные расходы</x:v>
      </x:c>
      <x:c r="B29" s="67"/>
      <x:c r="C29" s="67"/>
      <x:c r="D29" s="67"/>
      <x:c r="E29" s="67"/>
      <x:c r="F29" s="67"/>
      <x:c r="G29" s="67"/>
      <x:c r="H29" s="67"/>
      <x:c r="I29" s="6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60" t="str">
        <x:v>Статья</x:v>
      </x:c>
      <x:c r="B30" s="60" t="str">
        <x:v>Сумма</x:v>
      </x:c>
      <x:c r="C30" s="61"/>
      <x:c r="D30" s="60" t="str">
        <x:v>Сценарий</x:v>
      </x:c>
      <x:c r="E30" s="60" t="str">
        <x:v>Затраты без системы</x:v>
      </x:c>
      <x:c r="F30" s="60" t="str">
        <x:v>Затраты с системой</x:v>
      </x:c>
      <x:c r="G30" s="60" t="str">
        <x:v>Чистая экономия / год</x:v>
      </x:c>
      <x:c r="H30" s="60" t="str">
        <x:v>Экономия, %</x:v>
      </x:c>
      <x:c r="I30" s="60" t="str">
        <x:v>Простой сэкономлен, мин/год</x:v>
      </x:c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61" t="str">
        <x:v>Команда проекта</x:v>
      </x:c>
      <x:c r="B31" s="261" t="n">
        <x:f>'Допущения'!$C$11*'Допущения'!$C$12*'Допущения'!$C$13*'Допущения'!$C$10</x:f>
        <x:v>16800000</x:v>
      </x:c>
      <x:c r="C31" s="61"/>
      <x:c r="D31" s="61" t="str">
        <x:v>Студенты</x:v>
      </x:c>
      <x:c r="E31" s="261" t="n">
        <x:f>B18</x:f>
        <x:v>45200000</x:v>
      </x:c>
      <x:c r="F31" s="261" t="n">
        <x:f>C18+$B$43</x:f>
        <x:v>18380857.142857146</x:v>
      </x:c>
      <x:c r="G31" s="261" t="n">
        <x:f>E31-F31</x:f>
        <x:v>26819142.857142854</x:v>
      </x:c>
      <x:c r="H31" s="259" t="n">
        <x:f>G31/E31</x:f>
        <x:v>0.5933438685208596</x:v>
      </x:c>
      <x:c r="I31" s="263" t="n">
        <x:f>D23</x:f>
        <x:v>30</x:v>
      </x:c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61" t="str">
        <x:v>Инфраструктура</x:v>
      </x:c>
      <x:c r="B32" s="261" t="n">
        <x:f>'Допущения'!$C$14</x:f>
        <x:v>1750000</x:v>
      </x:c>
      <x:c r="C32" s="61"/>
      <x:c r="D32" s="61" t="str">
        <x:v>НПЗ / МС</x:v>
      </x:c>
      <x:c r="E32" s="261" t="n">
        <x:f>F18</x:f>
        <x:v>26550000</x:v>
      </x:c>
      <x:c r="F32" s="261" t="n">
        <x:f>G18+$B$43</x:f>
        <x:v>12826000</x:v>
      </x:c>
      <x:c r="G32" s="261" t="n">
        <x:f>E32-F32</x:f>
        <x:v>13724000</x:v>
      </x:c>
      <x:c r="H32" s="259" t="n">
        <x:f>G32/E32</x:f>
        <x:v>0.5169114877589454</x:v>
      </x:c>
      <x:c r="I32" s="263" t="n">
        <x:f>H23</x:f>
        <x:v>60</x:v>
      </x:c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61" t="str">
        <x:v>GPU исходной сметы</x:v>
      </x:c>
      <x:c r="B33" s="261" t="n">
        <x:f>'Допущения'!$C$15</x:f>
        <x:v>400000</x:v>
      </x:c>
      <x:c r="C33" s="61"/>
      <x:c r="D33" s="61"/>
      <x:c r="E33" s="61"/>
      <x:c r="F33" s="61"/>
      <x:c r="G33" s="61"/>
      <x:c r="H33" s="61"/>
      <x:c r="I33" s="61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61" t="str">
        <x:v>Оптимизация GPU</x:v>
      </x:c>
      <x:c r="B34" s="261" t="n">
        <x:f>'Допущения'!$C$16</x:f>
        <x:v>200000</x:v>
      </x:c>
      <x:c r="C34" s="61"/>
      <x:c r="D34" s="61"/>
      <x:c r="E34" s="61"/>
      <x:c r="F34" s="61"/>
      <x:c r="G34" s="61"/>
      <x:c r="H34" s="61"/>
      <x:c r="I34" s="61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61" t="str">
        <x:v>GPU в проекте после оптимизации</x:v>
      </x:c>
      <x:c r="B35" s="261" t="n">
        <x:f>'Допущения'!$C$17*'Допущения'!$C$18</x:f>
        <x:v>200000</x:v>
      </x:c>
      <x:c r="C35" s="61"/>
      <x:c r="D35" s="61"/>
      <x:c r="E35" s="61"/>
      <x:c r="F35" s="61"/>
      <x:c r="G35" s="61"/>
      <x:c r="H35" s="61"/>
      <x:c r="I35" s="61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61" t="str">
        <x:v>Интеграция и обучение</x:v>
      </x:c>
      <x:c r="B36" s="261" t="n">
        <x:f>'Допущения'!$C$19</x:f>
        <x:v>300000</x:v>
      </x:c>
      <x:c r="C36" s="61"/>
      <x:c r="D36" s="61"/>
      <x:c r="E36" s="61"/>
      <x:c r="F36" s="61"/>
      <x:c r="G36" s="61"/>
      <x:c r="H36" s="61"/>
      <x:c r="I36" s="61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61" t="str">
        <x:v>Подытог</x:v>
      </x:c>
      <x:c r="B37" s="261" t="n">
        <x:f>SUM(B31:B32)+B35+B36</x:f>
        <x:v>19050000</x:v>
      </x:c>
      <x:c r="C37" s="61"/>
      <x:c r="D37" s="61"/>
      <x:c r="E37" s="61"/>
      <x:c r="F37" s="61"/>
      <x:c r="G37" s="61"/>
      <x:c r="H37" s="61"/>
      <x:c r="I37" s="61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61" t="str">
        <x:v>Резерв бюджета</x:v>
      </x:c>
      <x:c r="B38" s="261" t="n">
        <x:f>B37*'Допущения'!$C$20</x:f>
        <x:v>1905000</x:v>
      </x:c>
      <x:c r="C38" s="61"/>
      <x:c r="D38" s="61"/>
      <x:c r="E38" s="61"/>
      <x:c r="F38" s="61"/>
      <x:c r="G38" s="61"/>
      <x:c r="H38" s="61"/>
      <x:c r="I38" s="61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234" t="str">
        <x:v>ИТОГО первоначальные инвестиции</x:v>
      </x:c>
      <x:c r="B39" s="65" t="n">
        <x:f>B37+B38</x:f>
        <x:v>20955000</x:v>
      </x:c>
      <x:c r="C39" s="61"/>
      <x:c r="D39" s="61"/>
      <x:c r="E39" s="61"/>
      <x:c r="F39" s="61"/>
      <x:c r="G39" s="61"/>
      <x:c r="H39" s="61"/>
      <x:c r="I39" s="61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61" t="str">
        <x:v>Сопровождение, ₽/год</x:v>
      </x:c>
      <x:c r="B40" s="261" t="n">
        <x:f>'Допущения'!$C$21*12*'Допущения'!$C$9</x:f>
        <x:v>960000</x:v>
      </x:c>
      <x:c r="C40" s="61"/>
      <x:c r="D40" s="61"/>
      <x:c r="E40" s="61"/>
      <x:c r="F40" s="61"/>
      <x:c r="G40" s="61"/>
      <x:c r="H40" s="61"/>
      <x:c r="I40" s="61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61" t="str">
        <x:v>Эксплуатация инфраструктуры, ₽/год</x:v>
      </x:c>
      <x:c r="B41" s="261" t="n">
        <x:f>'Допущения'!$C$22</x:f>
        <x:v>300000</x:v>
      </x:c>
      <x:c r="C41" s="61"/>
      <x:c r="D41" s="61"/>
      <x:c r="E41" s="61"/>
      <x:c r="F41" s="61"/>
      <x:c r="G41" s="61"/>
      <x:c r="H41" s="61"/>
      <x:c r="I41" s="61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61" t="str">
        <x:v>Лицензии / вендорская поддержка, ₽/год</x:v>
      </x:c>
      <x:c r="B42" s="261" t="n">
        <x:f>'Допущения'!$C$23</x:f>
        <x:v>250000</x:v>
      </x:c>
      <x:c r="C42" s="61"/>
      <x:c r="D42" s="61"/>
      <x:c r="E42" s="61"/>
      <x:c r="F42" s="61"/>
      <x:c r="G42" s="61"/>
      <x:c r="H42" s="61"/>
      <x:c r="I42" s="61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274" t="str">
        <x:v>ИТОГО эксплуатационные расходы, ₽/год</x:v>
      </x:c>
      <x:c r="B43" s="275" t="n">
        <x:f>SUM(B40:B42)</x:f>
        <x:v>1510000</x:v>
      </x:c>
      <x:c r="C43" s="61"/>
      <x:c r="D43" s="61"/>
      <x:c r="E43" s="61"/>
      <x:c r="F43" s="61"/>
      <x:c r="G43" s="61"/>
      <x:c r="H43" s="61"/>
      <x:c r="I43" s="61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I2"/>
    <x:mergeCell ref="A3:I3"/>
    <x:mergeCell ref="A5:I5"/>
    <x:mergeCell ref="A29:I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8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</x:cols>
  <x:sheetData>
    <x:row r="1">
      <x:c r="A1" s="53" t="str">
        <x:v>Денежный поток и точка безубыточности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Месячная модель на 36 месяцев. Выгоды начинаются после завершения проекта.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219" t="str">
        <x:v>Активный сценарий</x:v>
      </x:c>
      <x:c r="B4" s="219"/>
      <x:c r="C4" s="219"/>
      <x:c r="D4" s="219" t="str">
        <x:v>Первоначальные инвестиции</x:v>
      </x:c>
      <x:c r="E4" s="219"/>
      <x:c r="F4" s="219"/>
      <x:c r="G4" s="219" t="str">
        <x:v>Чистая экономия / год</x:v>
      </x:c>
      <x:c r="H4" s="219"/>
      <x:c r="I4" s="219"/>
      <x:c r="J4" s="219" t="str">
        <x:v>Точка безубыточности</x:v>
      </x:c>
      <x:c r="K4" s="219"/>
      <x:c r="L4" s="219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88" t="str">
        <x:f>'Допущения'!$C$4</x:f>
        <x:v>Студенты</x:v>
      </x:c>
      <x:c r="B5" s="289"/>
      <x:c r="C5" s="290"/>
      <x:c r="D5" s="291" t="n">
        <x:f>'Сравнение'!$B$39</x:f>
        <x:v>20955000</x:v>
      </x:c>
      <x:c r="E5" s="292"/>
      <x:c r="F5" s="293"/>
      <x:c r="G5" s="291" t="n">
        <x:f>IF($A$5="Студенты",'Сравнение'!$G$31,'Сравнение'!$G$32)</x:f>
        <x:v>26819142.857142854</x:v>
      </x:c>
      <x:c r="H5" s="292"/>
      <x:c r="I5" s="293"/>
      <x:c r="J5" s="294" t="n">
        <x:f>MAX(O10:O46)</x:f>
        <x:v>16</x:v>
      </x:c>
      <x:c r="K5" s="295"/>
      <x:c r="L5" s="296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8" t="str">
        <x:v>Кривая окупаемости строится по накопленным затратам и накопленным выгодам; их пересечение — первый месяц с неотрицательным накопленным денежным потоком.</x:v>
      </x:c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7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60" t="str">
        <x:v>Месяц</x:v>
      </x:c>
      <x:c r="B9" s="60" t="str">
        <x:v>Этап</x:v>
      </x:c>
      <x:c r="C9" s="60" t="str">
        <x:v>Команда</x:v>
      </x:c>
      <x:c r="D9" s="60" t="str">
        <x:v>Инфраструктура и оборудование</x:v>
      </x:c>
      <x:c r="E9" s="60" t="str">
        <x:v>Эксплуатационные расходы</x:v>
      </x:c>
      <x:c r="F9" s="60" t="str">
        <x:v>Всего затрат</x:v>
      </x:c>
      <x:c r="G9" s="60" t="str">
        <x:v>Эффект труда</x:v>
      </x:c>
      <x:c r="H9" s="60" t="str">
        <x:v>Эффект простоя</x:v>
      </x:c>
      <x:c r="I9" s="60" t="str">
        <x:v>Эффект подключений</x:v>
      </x:c>
      <x:c r="J9" s="60" t="str">
        <x:v>Всего выгод</x:v>
      </x:c>
      <x:c r="K9" s="60" t="str">
        <x:v>Чистый поток</x:v>
      </x:c>
      <x:c r="L9" s="60" t="str">
        <x:v>Накопленные затраты</x:v>
      </x:c>
      <x:c r="M9" s="60" t="str">
        <x:v>Накопленные выгоды</x:v>
      </x:c>
      <x:c r="N9" s="60" t="str">
        <x:v>Накопленный поток</x:v>
      </x:c>
      <x:c r="O9" s="60" t="str">
        <x:v>Безубыточность</x:v>
      </x:c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26" t="n">
        <x:v>0</x:v>
      </x:c>
      <x:c r="B10" s="226" t="str">
        <x:f>IF(A10=0,"Старт",IF(A10&lt;='Допущения'!$C$12,"Разработка","Эксплуатация"))</x:f>
        <x:v>Старт</x:v>
      </x:c>
      <x:c r="C10" s="297" t="n">
        <x:f>IF(AND(A10&gt;=1,A10&lt;='Допущения'!$C$12),'Сравнение'!$B$31/'Допущения'!$C$12,0)</x:f>
        <x:v>0</x:v>
      </x:c>
      <x:c r="D10" s="297" t="n">
        <x:f>IF(A10=0,'Сравнение'!$B$32+'Сравнение'!$B$35+'Сравнение'!$B$36+'Сравнение'!$B$38,0)</x:f>
        <x:v>4155000</x:v>
      </x:c>
      <x:c r="E10" s="297" t="n">
        <x:f>IF(A10&gt;'Допущения'!$C$12,'Сравнение'!$B$43/12,0)</x:f>
        <x:v>0</x:v>
      </x:c>
      <x:c r="F10" s="297" t="n">
        <x:f>SUM(C10:E10)</x:f>
        <x:v>4155000</x:v>
      </x:c>
      <x:c r="G10" s="297" t="n">
        <x:f>IF(A10&gt;'Допущения'!$C$12,IF($A$5="Студенты",'Сравнение'!$D$9/12,'Сравнение'!$H$9/12),0)</x:f>
        <x:v>0</x:v>
      </x:c>
      <x:c r="H10" s="297" t="n">
        <x:f>IF(A10&gt;'Допущения'!$C$12,IF($A$5="Студенты",'Сравнение'!$D$13/12,'Сравнение'!$H$13/12),0)</x:f>
        <x:v>0</x:v>
      </x:c>
      <x:c r="I10" s="297" t="n">
        <x:f>IF(A10&gt;'Допущения'!$C$12,IF($A$5="Студенты",'Сравнение'!$D$17/12,'Сравнение'!$H$17/12),0)</x:f>
        <x:v>0</x:v>
      </x:c>
      <x:c r="J10" s="297" t="n">
        <x:f>SUM(G10:I10)</x:f>
        <x:v>0</x:v>
      </x:c>
      <x:c r="K10" s="297" t="n">
        <x:f>J10-F10</x:f>
        <x:v>-4155000</x:v>
      </x:c>
      <x:c r="L10" s="297" t="n">
        <x:f>F10</x:f>
        <x:v>4155000</x:v>
      </x:c>
      <x:c r="M10" s="297" t="n">
        <x:f>J10</x:f>
        <x:v>0</x:v>
      </x:c>
      <x:c r="N10" s="297" t="n">
        <x:f>K10</x:f>
        <x:v>-4155000</x:v>
      </x:c>
      <x:c r="O10" s="298" t="n">
        <x:f>IF(N10&gt;=0,A10,0)</x:f>
        <x:v>0</x:v>
      </x:c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26" t="n">
        <x:v>1</x:v>
      </x:c>
      <x:c r="B11" s="226" t="str">
        <x:f>IF(A11=0,"Старт",IF(A11&lt;='Допущения'!$C$12,"Разработка","Эксплуатация"))</x:f>
        <x:v>Разработка</x:v>
      </x:c>
      <x:c r="C11" s="297" t="n">
        <x:f>IF(AND(A11&gt;=1,A11&lt;='Допущения'!$C$12),'Сравнение'!$B$31/'Допущения'!$C$12,0)</x:f>
        <x:v>2800000</x:v>
      </x:c>
      <x:c r="D11" s="297" t="n">
        <x:f>IF(A11=0,'Сравнение'!$B$32+'Сравнение'!$B$35+'Сравнение'!$B$36+'Сравнение'!$B$38,0)</x:f>
        <x:v>0</x:v>
      </x:c>
      <x:c r="E11" s="297" t="n">
        <x:f>IF(A11&gt;'Допущения'!$C$12,'Сравнение'!$B$43/12,0)</x:f>
        <x:v>0</x:v>
      </x:c>
      <x:c r="F11" s="297" t="n">
        <x:f>SUM(C11:E11)</x:f>
        <x:v>2800000</x:v>
      </x:c>
      <x:c r="G11" s="297" t="n">
        <x:f>IF(A11&gt;'Допущения'!$C$12,IF($A$5="Студенты",'Сравнение'!$D$9/12,'Сравнение'!$H$9/12),0)</x:f>
        <x:v>0</x:v>
      </x:c>
      <x:c r="H11" s="297" t="n">
        <x:f>IF(A11&gt;'Допущения'!$C$12,IF($A$5="Студенты",'Сравнение'!$D$13/12,'Сравнение'!$H$13/12),0)</x:f>
        <x:v>0</x:v>
      </x:c>
      <x:c r="I11" s="297" t="n">
        <x:f>IF(A11&gt;'Допущения'!$C$12,IF($A$5="Студенты",'Сравнение'!$D$17/12,'Сравнение'!$H$17/12),0)</x:f>
        <x:v>0</x:v>
      </x:c>
      <x:c r="J11" s="297" t="n">
        <x:f>SUM(G11:I11)</x:f>
        <x:v>0</x:v>
      </x:c>
      <x:c r="K11" s="297" t="n">
        <x:f>J11-F11</x:f>
        <x:v>-2800000</x:v>
      </x:c>
      <x:c r="L11" s="297" t="n">
        <x:f>L10+F11</x:f>
        <x:v>6955000</x:v>
      </x:c>
      <x:c r="M11" s="297" t="n">
        <x:f>M10+J11</x:f>
        <x:v>0</x:v>
      </x:c>
      <x:c r="N11" s="297" t="n">
        <x:f>N10+K11</x:f>
        <x:v>-6955000</x:v>
      </x:c>
      <x:c r="O11" s="298" t="n">
        <x:f>IF(AND(N11&gt;=0,N10&lt;0),A11,0)</x:f>
        <x:v>0</x:v>
      </x:c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26" t="n">
        <x:v>2</x:v>
      </x:c>
      <x:c r="B12" s="226" t="str">
        <x:f>IF(A12=0,"Старт",IF(A12&lt;='Допущения'!$C$12,"Разработка","Эксплуатация"))</x:f>
        <x:v>Разработка</x:v>
      </x:c>
      <x:c r="C12" s="297" t="n">
        <x:f>IF(AND(A12&gt;=1,A12&lt;='Допущения'!$C$12),'Сравнение'!$B$31/'Допущения'!$C$12,0)</x:f>
        <x:v>2800000</x:v>
      </x:c>
      <x:c r="D12" s="297" t="n">
        <x:f>IF(A12=0,'Сравнение'!$B$32+'Сравнение'!$B$35+'Сравнение'!$B$36+'Сравнение'!$B$38,0)</x:f>
        <x:v>0</x:v>
      </x:c>
      <x:c r="E12" s="297" t="n">
        <x:f>IF(A12&gt;'Допущения'!$C$12,'Сравнение'!$B$43/12,0)</x:f>
        <x:v>0</x:v>
      </x:c>
      <x:c r="F12" s="297" t="n">
        <x:f>SUM(C12:E12)</x:f>
        <x:v>2800000</x:v>
      </x:c>
      <x:c r="G12" s="297" t="n">
        <x:f>IF(A12&gt;'Допущения'!$C$12,IF($A$5="Студенты",'Сравнение'!$D$9/12,'Сравнение'!$H$9/12),0)</x:f>
        <x:v>0</x:v>
      </x:c>
      <x:c r="H12" s="297" t="n">
        <x:f>IF(A12&gt;'Допущения'!$C$12,IF($A$5="Студенты",'Сравнение'!$D$13/12,'Сравнение'!$H$13/12),0)</x:f>
        <x:v>0</x:v>
      </x:c>
      <x:c r="I12" s="297" t="n">
        <x:f>IF(A12&gt;'Допущения'!$C$12,IF($A$5="Студенты",'Сравнение'!$D$17/12,'Сравнение'!$H$17/12),0)</x:f>
        <x:v>0</x:v>
      </x:c>
      <x:c r="J12" s="297" t="n">
        <x:f>SUM(G12:I12)</x:f>
        <x:v>0</x:v>
      </x:c>
      <x:c r="K12" s="297" t="n">
        <x:f>J12-F12</x:f>
        <x:v>-2800000</x:v>
      </x:c>
      <x:c r="L12" s="297" t="n">
        <x:f>L11+F12</x:f>
        <x:v>9755000</x:v>
      </x:c>
      <x:c r="M12" s="297" t="n">
        <x:f>M11+J12</x:f>
        <x:v>0</x:v>
      </x:c>
      <x:c r="N12" s="297" t="n">
        <x:f>N11+K12</x:f>
        <x:v>-9755000</x:v>
      </x:c>
      <x:c r="O12" s="298" t="n">
        <x:f>IF(AND(N12&gt;=0,N11&lt;0),A12,0)</x:f>
        <x:v>0</x:v>
      </x:c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26" t="n">
        <x:v>3</x:v>
      </x:c>
      <x:c r="B13" s="226" t="str">
        <x:f>IF(A13=0,"Старт",IF(A13&lt;='Допущения'!$C$12,"Разработка","Эксплуатация"))</x:f>
        <x:v>Разработка</x:v>
      </x:c>
      <x:c r="C13" s="297" t="n">
        <x:f>IF(AND(A13&gt;=1,A13&lt;='Допущения'!$C$12),'Сравнение'!$B$31/'Допущения'!$C$12,0)</x:f>
        <x:v>2800000</x:v>
      </x:c>
      <x:c r="D13" s="297" t="n">
        <x:f>IF(A13=0,'Сравнение'!$B$32+'Сравнение'!$B$35+'Сравнение'!$B$36+'Сравнение'!$B$38,0)</x:f>
        <x:v>0</x:v>
      </x:c>
      <x:c r="E13" s="297" t="n">
        <x:f>IF(A13&gt;'Допущения'!$C$12,'Сравнение'!$B$43/12,0)</x:f>
        <x:v>0</x:v>
      </x:c>
      <x:c r="F13" s="297" t="n">
        <x:f>SUM(C13:E13)</x:f>
        <x:v>2800000</x:v>
      </x:c>
      <x:c r="G13" s="297" t="n">
        <x:f>IF(A13&gt;'Допущения'!$C$12,IF($A$5="Студенты",'Сравнение'!$D$9/12,'Сравнение'!$H$9/12),0)</x:f>
        <x:v>0</x:v>
      </x:c>
      <x:c r="H13" s="297" t="n">
        <x:f>IF(A13&gt;'Допущения'!$C$12,IF($A$5="Студенты",'Сравнение'!$D$13/12,'Сравнение'!$H$13/12),0)</x:f>
        <x:v>0</x:v>
      </x:c>
      <x:c r="I13" s="297" t="n">
        <x:f>IF(A13&gt;'Допущения'!$C$12,IF($A$5="Студенты",'Сравнение'!$D$17/12,'Сравнение'!$H$17/12),0)</x:f>
        <x:v>0</x:v>
      </x:c>
      <x:c r="J13" s="297" t="n">
        <x:f>SUM(G13:I13)</x:f>
        <x:v>0</x:v>
      </x:c>
      <x:c r="K13" s="297" t="n">
        <x:f>J13-F13</x:f>
        <x:v>-2800000</x:v>
      </x:c>
      <x:c r="L13" s="297" t="n">
        <x:f>L12+F13</x:f>
        <x:v>12555000</x:v>
      </x:c>
      <x:c r="M13" s="297" t="n">
        <x:f>M12+J13</x:f>
        <x:v>0</x:v>
      </x:c>
      <x:c r="N13" s="297" t="n">
        <x:f>N12+K13</x:f>
        <x:v>-12555000</x:v>
      </x:c>
      <x:c r="O13" s="298" t="n">
        <x:f>IF(AND(N13&gt;=0,N12&lt;0),A13,0)</x:f>
        <x:v>0</x:v>
      </x:c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26" t="n">
        <x:v>4</x:v>
      </x:c>
      <x:c r="B14" s="226" t="str">
        <x:f>IF(A14=0,"Старт",IF(A14&lt;='Допущения'!$C$12,"Разработка","Эксплуатация"))</x:f>
        <x:v>Разработка</x:v>
      </x:c>
      <x:c r="C14" s="297" t="n">
        <x:f>IF(AND(A14&gt;=1,A14&lt;='Допущения'!$C$12),'Сравнение'!$B$31/'Допущения'!$C$12,0)</x:f>
        <x:v>2800000</x:v>
      </x:c>
      <x:c r="D14" s="297" t="n">
        <x:f>IF(A14=0,'Сравнение'!$B$32+'Сравнение'!$B$35+'Сравнение'!$B$36+'Сравнение'!$B$38,0)</x:f>
        <x:v>0</x:v>
      </x:c>
      <x:c r="E14" s="297" t="n">
        <x:f>IF(A14&gt;'Допущения'!$C$12,'Сравнение'!$B$43/12,0)</x:f>
        <x:v>0</x:v>
      </x:c>
      <x:c r="F14" s="297" t="n">
        <x:f>SUM(C14:E14)</x:f>
        <x:v>2800000</x:v>
      </x:c>
      <x:c r="G14" s="297" t="n">
        <x:f>IF(A14&gt;'Допущения'!$C$12,IF($A$5="Студенты",'Сравнение'!$D$9/12,'Сравнение'!$H$9/12),0)</x:f>
        <x:v>0</x:v>
      </x:c>
      <x:c r="H14" s="297" t="n">
        <x:f>IF(A14&gt;'Допущения'!$C$12,IF($A$5="Студенты",'Сравнение'!$D$13/12,'Сравнение'!$H$13/12),0)</x:f>
        <x:v>0</x:v>
      </x:c>
      <x:c r="I14" s="297" t="n">
        <x:f>IF(A14&gt;'Допущения'!$C$12,IF($A$5="Студенты",'Сравнение'!$D$17/12,'Сравнение'!$H$17/12),0)</x:f>
        <x:v>0</x:v>
      </x:c>
      <x:c r="J14" s="297" t="n">
        <x:f>SUM(G14:I14)</x:f>
        <x:v>0</x:v>
      </x:c>
      <x:c r="K14" s="297" t="n">
        <x:f>J14-F14</x:f>
        <x:v>-2800000</x:v>
      </x:c>
      <x:c r="L14" s="297" t="n">
        <x:f>L13+F14</x:f>
        <x:v>15355000</x:v>
      </x:c>
      <x:c r="M14" s="297" t="n">
        <x:f>M13+J14</x:f>
        <x:v>0</x:v>
      </x:c>
      <x:c r="N14" s="297" t="n">
        <x:f>N13+K14</x:f>
        <x:v>-15355000</x:v>
      </x:c>
      <x:c r="O14" s="298" t="n">
        <x:f>IF(AND(N14&gt;=0,N13&lt;0),A14,0)</x:f>
        <x:v>0</x:v>
      </x:c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26" t="n">
        <x:v>5</x:v>
      </x:c>
      <x:c r="B15" s="226" t="str">
        <x:f>IF(A15=0,"Старт",IF(A15&lt;='Допущения'!$C$12,"Разработка","Эксплуатация"))</x:f>
        <x:v>Разработка</x:v>
      </x:c>
      <x:c r="C15" s="297" t="n">
        <x:f>IF(AND(A15&gt;=1,A15&lt;='Допущения'!$C$12),'Сравнение'!$B$31/'Допущения'!$C$12,0)</x:f>
        <x:v>2800000</x:v>
      </x:c>
      <x:c r="D15" s="297" t="n">
        <x:f>IF(A15=0,'Сравнение'!$B$32+'Сравнение'!$B$35+'Сравнение'!$B$36+'Сравнение'!$B$38,0)</x:f>
        <x:v>0</x:v>
      </x:c>
      <x:c r="E15" s="297" t="n">
        <x:f>IF(A15&gt;'Допущения'!$C$12,'Сравнение'!$B$43/12,0)</x:f>
        <x:v>0</x:v>
      </x:c>
      <x:c r="F15" s="297" t="n">
        <x:f>SUM(C15:E15)</x:f>
        <x:v>2800000</x:v>
      </x:c>
      <x:c r="G15" s="297" t="n">
        <x:f>IF(A15&gt;'Допущения'!$C$12,IF($A$5="Студенты",'Сравнение'!$D$9/12,'Сравнение'!$H$9/12),0)</x:f>
        <x:v>0</x:v>
      </x:c>
      <x:c r="H15" s="297" t="n">
        <x:f>IF(A15&gt;'Допущения'!$C$12,IF($A$5="Студенты",'Сравнение'!$D$13/12,'Сравнение'!$H$13/12),0)</x:f>
        <x:v>0</x:v>
      </x:c>
      <x:c r="I15" s="297" t="n">
        <x:f>IF(A15&gt;'Допущения'!$C$12,IF($A$5="Студенты",'Сравнение'!$D$17/12,'Сравнение'!$H$17/12),0)</x:f>
        <x:v>0</x:v>
      </x:c>
      <x:c r="J15" s="297" t="n">
        <x:f>SUM(G15:I15)</x:f>
        <x:v>0</x:v>
      </x:c>
      <x:c r="K15" s="297" t="n">
        <x:f>J15-F15</x:f>
        <x:v>-2800000</x:v>
      </x:c>
      <x:c r="L15" s="297" t="n">
        <x:f>L14+F15</x:f>
        <x:v>18155000</x:v>
      </x:c>
      <x:c r="M15" s="297" t="n">
        <x:f>M14+J15</x:f>
        <x:v>0</x:v>
      </x:c>
      <x:c r="N15" s="297" t="n">
        <x:f>N14+K15</x:f>
        <x:v>-18155000</x:v>
      </x:c>
      <x:c r="O15" s="298" t="n">
        <x:f>IF(AND(N15&gt;=0,N14&lt;0),A15,0)</x:f>
        <x:v>0</x:v>
      </x:c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26" t="n">
        <x:v>6</x:v>
      </x:c>
      <x:c r="B16" s="226" t="str">
        <x:f>IF(A16=0,"Старт",IF(A16&lt;='Допущения'!$C$12,"Разработка","Эксплуатация"))</x:f>
        <x:v>Разработка</x:v>
      </x:c>
      <x:c r="C16" s="297" t="n">
        <x:f>IF(AND(A16&gt;=1,A16&lt;='Допущения'!$C$12),'Сравнение'!$B$31/'Допущения'!$C$12,0)</x:f>
        <x:v>2800000</x:v>
      </x:c>
      <x:c r="D16" s="297" t="n">
        <x:f>IF(A16=0,'Сравнение'!$B$32+'Сравнение'!$B$35+'Сравнение'!$B$36+'Сравнение'!$B$38,0)</x:f>
        <x:v>0</x:v>
      </x:c>
      <x:c r="E16" s="297" t="n">
        <x:f>IF(A16&gt;'Допущения'!$C$12,'Сравнение'!$B$43/12,0)</x:f>
        <x:v>0</x:v>
      </x:c>
      <x:c r="F16" s="297" t="n">
        <x:f>SUM(C16:E16)</x:f>
        <x:v>2800000</x:v>
      </x:c>
      <x:c r="G16" s="297" t="n">
        <x:f>IF(A16&gt;'Допущения'!$C$12,IF($A$5="Студенты",'Сравнение'!$D$9/12,'Сравнение'!$H$9/12),0)</x:f>
        <x:v>0</x:v>
      </x:c>
      <x:c r="H16" s="297" t="n">
        <x:f>IF(A16&gt;'Допущения'!$C$12,IF($A$5="Студенты",'Сравнение'!$D$13/12,'Сравнение'!$H$13/12),0)</x:f>
        <x:v>0</x:v>
      </x:c>
      <x:c r="I16" s="297" t="n">
        <x:f>IF(A16&gt;'Допущения'!$C$12,IF($A$5="Студенты",'Сравнение'!$D$17/12,'Сравнение'!$H$17/12),0)</x:f>
        <x:v>0</x:v>
      </x:c>
      <x:c r="J16" s="297" t="n">
        <x:f>SUM(G16:I16)</x:f>
        <x:v>0</x:v>
      </x:c>
      <x:c r="K16" s="297" t="n">
        <x:f>J16-F16</x:f>
        <x:v>-2800000</x:v>
      </x:c>
      <x:c r="L16" s="297" t="n">
        <x:f>L15+F16</x:f>
        <x:v>20955000</x:v>
      </x:c>
      <x:c r="M16" s="297" t="n">
        <x:f>M15+J16</x:f>
        <x:v>0</x:v>
      </x:c>
      <x:c r="N16" s="297" t="n">
        <x:f>N15+K16</x:f>
        <x:v>-20955000</x:v>
      </x:c>
      <x:c r="O16" s="298" t="n">
        <x:f>IF(AND(N16&gt;=0,N15&lt;0),A16,0)</x:f>
        <x:v>0</x:v>
      </x:c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226" t="n">
        <x:v>7</x:v>
      </x:c>
      <x:c r="B17" s="226" t="str">
        <x:f>IF(A17=0,"Старт",IF(A17&lt;='Допущения'!$C$12,"Разработка","Эксплуатация"))</x:f>
        <x:v>Эксплуатация</x:v>
      </x:c>
      <x:c r="C17" s="297" t="n">
        <x:f>IF(AND(A17&gt;=1,A17&lt;='Допущения'!$C$12),'Сравнение'!$B$31/'Допущения'!$C$12,0)</x:f>
        <x:v>0</x:v>
      </x:c>
      <x:c r="D17" s="297" t="n">
        <x:f>IF(A17=0,'Сравнение'!$B$32+'Сравнение'!$B$35+'Сравнение'!$B$36+'Сравнение'!$B$38,0)</x:f>
        <x:v>0</x:v>
      </x:c>
      <x:c r="E17" s="297" t="n">
        <x:f>IF(A17&gt;'Допущения'!$C$12,'Сравнение'!$B$43/12,0)</x:f>
        <x:v>125833.33333333333</x:v>
      </x:c>
      <x:c r="F17" s="297" t="n">
        <x:f>SUM(C17:E17)</x:f>
        <x:v>125833.33333333333</x:v>
      </x:c>
      <x:c r="G17" s="297" t="n">
        <x:f>IF(A17&gt;'Допущения'!$C$12,IF($A$5="Студенты",'Сравнение'!$D$9/12,'Сравнение'!$H$9/12),0)</x:f>
        <x:v>1752000</x:v>
      </x:c>
      <x:c r="H17" s="297" t="n">
        <x:f>IF(A17&gt;'Допущения'!$C$12,IF($A$5="Студенты",'Сравнение'!$D$13/12,'Сравнение'!$H$13/12),0)</x:f>
        <x:v>571428.5714285715</x:v>
      </x:c>
      <x:c r="I17" s="297" t="n">
        <x:f>IF(A17&gt;'Допущения'!$C$12,IF($A$5="Студенты",'Сравнение'!$D$17/12,'Сравнение'!$H$17/12),0)</x:f>
        <x:v>37333.333333333336</x:v>
      </x:c>
      <x:c r="J17" s="297" t="n">
        <x:f>SUM(G17:I17)</x:f>
        <x:v>2360761.904761905</x:v>
      </x:c>
      <x:c r="K17" s="297" t="n">
        <x:f>J17-F17</x:f>
        <x:v>2234928.5714285714</x:v>
      </x:c>
      <x:c r="L17" s="297" t="n">
        <x:f>L16+F17</x:f>
        <x:v>21080833.333333332</x:v>
      </x:c>
      <x:c r="M17" s="297" t="n">
        <x:f>M16+J17</x:f>
        <x:v>2360761.904761905</x:v>
      </x:c>
      <x:c r="N17" s="297" t="n">
        <x:f>N16+K17</x:f>
        <x:v>-18720071.42857143</x:v>
      </x:c>
      <x:c r="O17" s="298" t="n">
        <x:f>IF(AND(N17&gt;=0,N16&lt;0),A17,0)</x:f>
        <x:v>0</x:v>
      </x:c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226" t="n">
        <x:v>8</x:v>
      </x:c>
      <x:c r="B18" s="226" t="str">
        <x:f>IF(A18=0,"Старт",IF(A18&lt;='Допущения'!$C$12,"Разработка","Эксплуатация"))</x:f>
        <x:v>Эксплуатация</x:v>
      </x:c>
      <x:c r="C18" s="297" t="n">
        <x:f>IF(AND(A18&gt;=1,A18&lt;='Допущения'!$C$12),'Сравнение'!$B$31/'Допущения'!$C$12,0)</x:f>
        <x:v>0</x:v>
      </x:c>
      <x:c r="D18" s="297" t="n">
        <x:f>IF(A18=0,'Сравнение'!$B$32+'Сравнение'!$B$35+'Сравнение'!$B$36+'Сравнение'!$B$38,0)</x:f>
        <x:v>0</x:v>
      </x:c>
      <x:c r="E18" s="297" t="n">
        <x:f>IF(A18&gt;'Допущения'!$C$12,'Сравнение'!$B$43/12,0)</x:f>
        <x:v>125833.33333333333</x:v>
      </x:c>
      <x:c r="F18" s="297" t="n">
        <x:f>SUM(C18:E18)</x:f>
        <x:v>125833.33333333333</x:v>
      </x:c>
      <x:c r="G18" s="297" t="n">
        <x:f>IF(A18&gt;'Допущения'!$C$12,IF($A$5="Студенты",'Сравнение'!$D$9/12,'Сравнение'!$H$9/12),0)</x:f>
        <x:v>1752000</x:v>
      </x:c>
      <x:c r="H18" s="297" t="n">
        <x:f>IF(A18&gt;'Допущения'!$C$12,IF($A$5="Студенты",'Сравнение'!$D$13/12,'Сравнение'!$H$13/12),0)</x:f>
        <x:v>571428.5714285715</x:v>
      </x:c>
      <x:c r="I18" s="297" t="n">
        <x:f>IF(A18&gt;'Допущения'!$C$12,IF($A$5="Студенты",'Сравнение'!$D$17/12,'Сравнение'!$H$17/12),0)</x:f>
        <x:v>37333.333333333336</x:v>
      </x:c>
      <x:c r="J18" s="297" t="n">
        <x:f>SUM(G18:I18)</x:f>
        <x:v>2360761.904761905</x:v>
      </x:c>
      <x:c r="K18" s="297" t="n">
        <x:f>J18-F18</x:f>
        <x:v>2234928.5714285714</x:v>
      </x:c>
      <x:c r="L18" s="297" t="n">
        <x:f>L17+F18</x:f>
        <x:v>21206666.666666664</x:v>
      </x:c>
      <x:c r="M18" s="297" t="n">
        <x:f>M17+J18</x:f>
        <x:v>4721523.80952381</x:v>
      </x:c>
      <x:c r="N18" s="297" t="n">
        <x:f>N17+K18</x:f>
        <x:v>-16485142.857142858</x:v>
      </x:c>
      <x:c r="O18" s="298" t="n">
        <x:f>IF(AND(N18&gt;=0,N17&lt;0),A18,0)</x:f>
        <x:v>0</x:v>
      </x:c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26" t="n">
        <x:v>9</x:v>
      </x:c>
      <x:c r="B19" s="226" t="str">
        <x:f>IF(A19=0,"Старт",IF(A19&lt;='Допущения'!$C$12,"Разработка","Эксплуатация"))</x:f>
        <x:v>Эксплуатация</x:v>
      </x:c>
      <x:c r="C19" s="297" t="n">
        <x:f>IF(AND(A19&gt;=1,A19&lt;='Допущения'!$C$12),'Сравнение'!$B$31/'Допущения'!$C$12,0)</x:f>
        <x:v>0</x:v>
      </x:c>
      <x:c r="D19" s="297" t="n">
        <x:f>IF(A19=0,'Сравнение'!$B$32+'Сравнение'!$B$35+'Сравнение'!$B$36+'Сравнение'!$B$38,0)</x:f>
        <x:v>0</x:v>
      </x:c>
      <x:c r="E19" s="297" t="n">
        <x:f>IF(A19&gt;'Допущения'!$C$12,'Сравнение'!$B$43/12,0)</x:f>
        <x:v>125833.33333333333</x:v>
      </x:c>
      <x:c r="F19" s="297" t="n">
        <x:f>SUM(C19:E19)</x:f>
        <x:v>125833.33333333333</x:v>
      </x:c>
      <x:c r="G19" s="297" t="n">
        <x:f>IF(A19&gt;'Допущения'!$C$12,IF($A$5="Студенты",'Сравнение'!$D$9/12,'Сравнение'!$H$9/12),0)</x:f>
        <x:v>1752000</x:v>
      </x:c>
      <x:c r="H19" s="297" t="n">
        <x:f>IF(A19&gt;'Допущения'!$C$12,IF($A$5="Студенты",'Сравнение'!$D$13/12,'Сравнение'!$H$13/12),0)</x:f>
        <x:v>571428.5714285715</x:v>
      </x:c>
      <x:c r="I19" s="297" t="n">
        <x:f>IF(A19&gt;'Допущения'!$C$12,IF($A$5="Студенты",'Сравнение'!$D$17/12,'Сравнение'!$H$17/12),0)</x:f>
        <x:v>37333.333333333336</x:v>
      </x:c>
      <x:c r="J19" s="297" t="n">
        <x:f>SUM(G19:I19)</x:f>
        <x:v>2360761.904761905</x:v>
      </x:c>
      <x:c r="K19" s="297" t="n">
        <x:f>J19-F19</x:f>
        <x:v>2234928.5714285714</x:v>
      </x:c>
      <x:c r="L19" s="297" t="n">
        <x:f>L18+F19</x:f>
        <x:v>21332499.999999996</x:v>
      </x:c>
      <x:c r="M19" s="297" t="n">
        <x:f>M18+J19</x:f>
        <x:v>7082285.714285715</x:v>
      </x:c>
      <x:c r="N19" s="297" t="n">
        <x:f>N18+K19</x:f>
        <x:v>-14250214.285714287</x:v>
      </x:c>
      <x:c r="O19" s="298" t="n">
        <x:f>IF(AND(N19&gt;=0,N18&lt;0),A19,0)</x:f>
        <x:v>0</x:v>
      </x:c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26" t="n">
        <x:v>10</x:v>
      </x:c>
      <x:c r="B20" s="226" t="str">
        <x:f>IF(A20=0,"Старт",IF(A20&lt;='Допущения'!$C$12,"Разработка","Эксплуатация"))</x:f>
        <x:v>Эксплуатация</x:v>
      </x:c>
      <x:c r="C20" s="297" t="n">
        <x:f>IF(AND(A20&gt;=1,A20&lt;='Допущения'!$C$12),'Сравнение'!$B$31/'Допущения'!$C$12,0)</x:f>
        <x:v>0</x:v>
      </x:c>
      <x:c r="D20" s="297" t="n">
        <x:f>IF(A20=0,'Сравнение'!$B$32+'Сравнение'!$B$35+'Сравнение'!$B$36+'Сравнение'!$B$38,0)</x:f>
        <x:v>0</x:v>
      </x:c>
      <x:c r="E20" s="297" t="n">
        <x:f>IF(A20&gt;'Допущения'!$C$12,'Сравнение'!$B$43/12,0)</x:f>
        <x:v>125833.33333333333</x:v>
      </x:c>
      <x:c r="F20" s="297" t="n">
        <x:f>SUM(C20:E20)</x:f>
        <x:v>125833.33333333333</x:v>
      </x:c>
      <x:c r="G20" s="297" t="n">
        <x:f>IF(A20&gt;'Допущения'!$C$12,IF($A$5="Студенты",'Сравнение'!$D$9/12,'Сравнение'!$H$9/12),0)</x:f>
        <x:v>1752000</x:v>
      </x:c>
      <x:c r="H20" s="297" t="n">
        <x:f>IF(A20&gt;'Допущения'!$C$12,IF($A$5="Студенты",'Сравнение'!$D$13/12,'Сравнение'!$H$13/12),0)</x:f>
        <x:v>571428.5714285715</x:v>
      </x:c>
      <x:c r="I20" s="297" t="n">
        <x:f>IF(A20&gt;'Допущения'!$C$12,IF($A$5="Студенты",'Сравнение'!$D$17/12,'Сравнение'!$H$17/12),0)</x:f>
        <x:v>37333.333333333336</x:v>
      </x:c>
      <x:c r="J20" s="297" t="n">
        <x:f>SUM(G20:I20)</x:f>
        <x:v>2360761.904761905</x:v>
      </x:c>
      <x:c r="K20" s="297" t="n">
        <x:f>J20-F20</x:f>
        <x:v>2234928.5714285714</x:v>
      </x:c>
      <x:c r="L20" s="297" t="n">
        <x:f>L19+F20</x:f>
        <x:v>21458333.33333333</x:v>
      </x:c>
      <x:c r="M20" s="297" t="n">
        <x:f>M19+J20</x:f>
        <x:v>9443047.61904762</x:v>
      </x:c>
      <x:c r="N20" s="297" t="n">
        <x:f>N19+K20</x:f>
        <x:v>-12015285.714285716</x:v>
      </x:c>
      <x:c r="O20" s="298" t="n">
        <x:f>IF(AND(N20&gt;=0,N19&lt;0),A20,0)</x:f>
        <x:v>0</x:v>
      </x:c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226" t="n">
        <x:v>11</x:v>
      </x:c>
      <x:c r="B21" s="226" t="str">
        <x:f>IF(A21=0,"Старт",IF(A21&lt;='Допущения'!$C$12,"Разработка","Эксплуатация"))</x:f>
        <x:v>Эксплуатация</x:v>
      </x:c>
      <x:c r="C21" s="297" t="n">
        <x:f>IF(AND(A21&gt;=1,A21&lt;='Допущения'!$C$12),'Сравнение'!$B$31/'Допущения'!$C$12,0)</x:f>
        <x:v>0</x:v>
      </x:c>
      <x:c r="D21" s="297" t="n">
        <x:f>IF(A21=0,'Сравнение'!$B$32+'Сравнение'!$B$35+'Сравнение'!$B$36+'Сравнение'!$B$38,0)</x:f>
        <x:v>0</x:v>
      </x:c>
      <x:c r="E21" s="297" t="n">
        <x:f>IF(A21&gt;'Допущения'!$C$12,'Сравнение'!$B$43/12,0)</x:f>
        <x:v>125833.33333333333</x:v>
      </x:c>
      <x:c r="F21" s="297" t="n">
        <x:f>SUM(C21:E21)</x:f>
        <x:v>125833.33333333333</x:v>
      </x:c>
      <x:c r="G21" s="297" t="n">
        <x:f>IF(A21&gt;'Допущения'!$C$12,IF($A$5="Студенты",'Сравнение'!$D$9/12,'Сравнение'!$H$9/12),0)</x:f>
        <x:v>1752000</x:v>
      </x:c>
      <x:c r="H21" s="297" t="n">
        <x:f>IF(A21&gt;'Допущения'!$C$12,IF($A$5="Студенты",'Сравнение'!$D$13/12,'Сравнение'!$H$13/12),0)</x:f>
        <x:v>571428.5714285715</x:v>
      </x:c>
      <x:c r="I21" s="297" t="n">
        <x:f>IF(A21&gt;'Допущения'!$C$12,IF($A$5="Студенты",'Сравнение'!$D$17/12,'Сравнение'!$H$17/12),0)</x:f>
        <x:v>37333.333333333336</x:v>
      </x:c>
      <x:c r="J21" s="297" t="n">
        <x:f>SUM(G21:I21)</x:f>
        <x:v>2360761.904761905</x:v>
      </x:c>
      <x:c r="K21" s="297" t="n">
        <x:f>J21-F21</x:f>
        <x:v>2234928.5714285714</x:v>
      </x:c>
      <x:c r="L21" s="297" t="n">
        <x:f>L20+F21</x:f>
        <x:v>21584166.66666666</x:v>
      </x:c>
      <x:c r="M21" s="297" t="n">
        <x:f>M20+J21</x:f>
        <x:v>11803809.523809524</x:v>
      </x:c>
      <x:c r="N21" s="297" t="n">
        <x:f>N20+K21</x:f>
        <x:v>-9780357.142857146</x:v>
      </x:c>
      <x:c r="O21" s="298" t="n">
        <x:f>IF(AND(N21&gt;=0,N20&lt;0),A21,0)</x:f>
        <x:v>0</x:v>
      </x:c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226" t="n">
        <x:v>12</x:v>
      </x:c>
      <x:c r="B22" s="226" t="str">
        <x:f>IF(A22=0,"Старт",IF(A22&lt;='Допущения'!$C$12,"Разработка","Эксплуатация"))</x:f>
        <x:v>Эксплуатация</x:v>
      </x:c>
      <x:c r="C22" s="297" t="n">
        <x:f>IF(AND(A22&gt;=1,A22&lt;='Допущения'!$C$12),'Сравнение'!$B$31/'Допущения'!$C$12,0)</x:f>
        <x:v>0</x:v>
      </x:c>
      <x:c r="D22" s="297" t="n">
        <x:f>IF(A22=0,'Сравнение'!$B$32+'Сравнение'!$B$35+'Сравнение'!$B$36+'Сравнение'!$B$38,0)</x:f>
        <x:v>0</x:v>
      </x:c>
      <x:c r="E22" s="297" t="n">
        <x:f>IF(A22&gt;'Допущения'!$C$12,'Сравнение'!$B$43/12,0)</x:f>
        <x:v>125833.33333333333</x:v>
      </x:c>
      <x:c r="F22" s="297" t="n">
        <x:f>SUM(C22:E22)</x:f>
        <x:v>125833.33333333333</x:v>
      </x:c>
      <x:c r="G22" s="297" t="n">
        <x:f>IF(A22&gt;'Допущения'!$C$12,IF($A$5="Студенты",'Сравнение'!$D$9/12,'Сравнение'!$H$9/12),0)</x:f>
        <x:v>1752000</x:v>
      </x:c>
      <x:c r="H22" s="297" t="n">
        <x:f>IF(A22&gt;'Допущения'!$C$12,IF($A$5="Студенты",'Сравнение'!$D$13/12,'Сравнение'!$H$13/12),0)</x:f>
        <x:v>571428.5714285715</x:v>
      </x:c>
      <x:c r="I22" s="297" t="n">
        <x:f>IF(A22&gt;'Допущения'!$C$12,IF($A$5="Студенты",'Сравнение'!$D$17/12,'Сравнение'!$H$17/12),0)</x:f>
        <x:v>37333.333333333336</x:v>
      </x:c>
      <x:c r="J22" s="297" t="n">
        <x:f>SUM(G22:I22)</x:f>
        <x:v>2360761.904761905</x:v>
      </x:c>
      <x:c r="K22" s="297" t="n">
        <x:f>J22-F22</x:f>
        <x:v>2234928.5714285714</x:v>
      </x:c>
      <x:c r="L22" s="297" t="n">
        <x:f>L21+F22</x:f>
        <x:v>21709999.999999993</x:v>
      </x:c>
      <x:c r="M22" s="297" t="n">
        <x:f>M21+J22</x:f>
        <x:v>14164571.42857143</x:v>
      </x:c>
      <x:c r="N22" s="297" t="n">
        <x:f>N21+K22</x:f>
        <x:v>-7545428.571428575</x:v>
      </x:c>
      <x:c r="O22" s="298" t="n">
        <x:f>IF(AND(N22&gt;=0,N21&lt;0),A22,0)</x:f>
        <x:v>0</x:v>
      </x:c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226" t="n">
        <x:v>13</x:v>
      </x:c>
      <x:c r="B23" s="226" t="str">
        <x:f>IF(A23=0,"Старт",IF(A23&lt;='Допущения'!$C$12,"Разработка","Эксплуатация"))</x:f>
        <x:v>Эксплуатация</x:v>
      </x:c>
      <x:c r="C23" s="297" t="n">
        <x:f>IF(AND(A23&gt;=1,A23&lt;='Допущения'!$C$12),'Сравнение'!$B$31/'Допущения'!$C$12,0)</x:f>
        <x:v>0</x:v>
      </x:c>
      <x:c r="D23" s="297" t="n">
        <x:f>IF(A23=0,'Сравнение'!$B$32+'Сравнение'!$B$35+'Сравнение'!$B$36+'Сравнение'!$B$38,0)</x:f>
        <x:v>0</x:v>
      </x:c>
      <x:c r="E23" s="297" t="n">
        <x:f>IF(A23&gt;'Допущения'!$C$12,'Сравнение'!$B$43/12,0)</x:f>
        <x:v>125833.33333333333</x:v>
      </x:c>
      <x:c r="F23" s="297" t="n">
        <x:f>SUM(C23:E23)</x:f>
        <x:v>125833.33333333333</x:v>
      </x:c>
      <x:c r="G23" s="297" t="n">
        <x:f>IF(A23&gt;'Допущения'!$C$12,IF($A$5="Студенты",'Сравнение'!$D$9/12,'Сравнение'!$H$9/12),0)</x:f>
        <x:v>1752000</x:v>
      </x:c>
      <x:c r="H23" s="297" t="n">
        <x:f>IF(A23&gt;'Допущения'!$C$12,IF($A$5="Студенты",'Сравнение'!$D$13/12,'Сравнение'!$H$13/12),0)</x:f>
        <x:v>571428.5714285715</x:v>
      </x:c>
      <x:c r="I23" s="297" t="n">
        <x:f>IF(A23&gt;'Допущения'!$C$12,IF($A$5="Студенты",'Сравнение'!$D$17/12,'Сравнение'!$H$17/12),0)</x:f>
        <x:v>37333.333333333336</x:v>
      </x:c>
      <x:c r="J23" s="297" t="n">
        <x:f>SUM(G23:I23)</x:f>
        <x:v>2360761.904761905</x:v>
      </x:c>
      <x:c r="K23" s="297" t="n">
        <x:f>J23-F23</x:f>
        <x:v>2234928.5714285714</x:v>
      </x:c>
      <x:c r="L23" s="297" t="n">
        <x:f>L22+F23</x:f>
        <x:v>21835833.333333325</x:v>
      </x:c>
      <x:c r="M23" s="297" t="n">
        <x:f>M22+J23</x:f>
        <x:v>16525333.333333334</x:v>
      </x:c>
      <x:c r="N23" s="297" t="n">
        <x:f>N22+K23</x:f>
        <x:v>-5310500.000000004</x:v>
      </x:c>
      <x:c r="O23" s="298" t="n">
        <x:f>IF(AND(N23&gt;=0,N22&lt;0),A23,0)</x:f>
        <x:v>0</x:v>
      </x:c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226" t="n">
        <x:v>14</x:v>
      </x:c>
      <x:c r="B24" s="226" t="str">
        <x:f>IF(A24=0,"Старт",IF(A24&lt;='Допущения'!$C$12,"Разработка","Эксплуатация"))</x:f>
        <x:v>Эксплуатация</x:v>
      </x:c>
      <x:c r="C24" s="297" t="n">
        <x:f>IF(AND(A24&gt;=1,A24&lt;='Допущения'!$C$12),'Сравнение'!$B$31/'Допущения'!$C$12,0)</x:f>
        <x:v>0</x:v>
      </x:c>
      <x:c r="D24" s="297" t="n">
        <x:f>IF(A24=0,'Сравнение'!$B$32+'Сравнение'!$B$35+'Сравнение'!$B$36+'Сравнение'!$B$38,0)</x:f>
        <x:v>0</x:v>
      </x:c>
      <x:c r="E24" s="297" t="n">
        <x:f>IF(A24&gt;'Допущения'!$C$12,'Сравнение'!$B$43/12,0)</x:f>
        <x:v>125833.33333333333</x:v>
      </x:c>
      <x:c r="F24" s="297" t="n">
        <x:f>SUM(C24:E24)</x:f>
        <x:v>125833.33333333333</x:v>
      </x:c>
      <x:c r="G24" s="297" t="n">
        <x:f>IF(A24&gt;'Допущения'!$C$12,IF($A$5="Студенты",'Сравнение'!$D$9/12,'Сравнение'!$H$9/12),0)</x:f>
        <x:v>1752000</x:v>
      </x:c>
      <x:c r="H24" s="297" t="n">
        <x:f>IF(A24&gt;'Допущения'!$C$12,IF($A$5="Студенты",'Сравнение'!$D$13/12,'Сравнение'!$H$13/12),0)</x:f>
        <x:v>571428.5714285715</x:v>
      </x:c>
      <x:c r="I24" s="297" t="n">
        <x:f>IF(A24&gt;'Допущения'!$C$12,IF($A$5="Студенты",'Сравнение'!$D$17/12,'Сравнение'!$H$17/12),0)</x:f>
        <x:v>37333.333333333336</x:v>
      </x:c>
      <x:c r="J24" s="297" t="n">
        <x:f>SUM(G24:I24)</x:f>
        <x:v>2360761.904761905</x:v>
      </x:c>
      <x:c r="K24" s="297" t="n">
        <x:f>J24-F24</x:f>
        <x:v>2234928.5714285714</x:v>
      </x:c>
      <x:c r="L24" s="297" t="n">
        <x:f>L23+F24</x:f>
        <x:v>21961666.666666657</x:v>
      </x:c>
      <x:c r="M24" s="297" t="n">
        <x:f>M23+J24</x:f>
        <x:v>18886095.23809524</x:v>
      </x:c>
      <x:c r="N24" s="297" t="n">
        <x:f>N23+K24</x:f>
        <x:v>-3075571.4285714324</x:v>
      </x:c>
      <x:c r="O24" s="298" t="n">
        <x:f>IF(AND(N24&gt;=0,N23&lt;0),A24,0)</x:f>
        <x:v>0</x:v>
      </x:c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226" t="n">
        <x:v>15</x:v>
      </x:c>
      <x:c r="B25" s="226" t="str">
        <x:f>IF(A25=0,"Старт",IF(A25&lt;='Допущения'!$C$12,"Разработка","Эксплуатация"))</x:f>
        <x:v>Эксплуатация</x:v>
      </x:c>
      <x:c r="C25" s="297" t="n">
        <x:f>IF(AND(A25&gt;=1,A25&lt;='Допущения'!$C$12),'Сравнение'!$B$31/'Допущения'!$C$12,0)</x:f>
        <x:v>0</x:v>
      </x:c>
      <x:c r="D25" s="297" t="n">
        <x:f>IF(A25=0,'Сравнение'!$B$32+'Сравнение'!$B$35+'Сравнение'!$B$36+'Сравнение'!$B$38,0)</x:f>
        <x:v>0</x:v>
      </x:c>
      <x:c r="E25" s="297" t="n">
        <x:f>IF(A25&gt;'Допущения'!$C$12,'Сравнение'!$B$43/12,0)</x:f>
        <x:v>125833.33333333333</x:v>
      </x:c>
      <x:c r="F25" s="297" t="n">
        <x:f>SUM(C25:E25)</x:f>
        <x:v>125833.33333333333</x:v>
      </x:c>
      <x:c r="G25" s="297" t="n">
        <x:f>IF(A25&gt;'Допущения'!$C$12,IF($A$5="Студенты",'Сравнение'!$D$9/12,'Сравнение'!$H$9/12),0)</x:f>
        <x:v>1752000</x:v>
      </x:c>
      <x:c r="H25" s="297" t="n">
        <x:f>IF(A25&gt;'Допущения'!$C$12,IF($A$5="Студенты",'Сравнение'!$D$13/12,'Сравнение'!$H$13/12),0)</x:f>
        <x:v>571428.5714285715</x:v>
      </x:c>
      <x:c r="I25" s="297" t="n">
        <x:f>IF(A25&gt;'Допущения'!$C$12,IF($A$5="Студенты",'Сравнение'!$D$17/12,'Сравнение'!$H$17/12),0)</x:f>
        <x:v>37333.333333333336</x:v>
      </x:c>
      <x:c r="J25" s="297" t="n">
        <x:f>SUM(G25:I25)</x:f>
        <x:v>2360761.904761905</x:v>
      </x:c>
      <x:c r="K25" s="297" t="n">
        <x:f>J25-F25</x:f>
        <x:v>2234928.5714285714</x:v>
      </x:c>
      <x:c r="L25" s="297" t="n">
        <x:f>L24+F25</x:f>
        <x:v>22087499.99999999</x:v>
      </x:c>
      <x:c r="M25" s="297" t="n">
        <x:f>M24+J25</x:f>
        <x:v>21246857.14285714</x:v>
      </x:c>
      <x:c r="N25" s="297" t="n">
        <x:f>N24+K25</x:f>
        <x:v>-840642.857142861</x:v>
      </x:c>
      <x:c r="O25" s="298" t="n">
        <x:f>IF(AND(N25&gt;=0,N24&lt;0),A25,0)</x:f>
        <x:v>0</x:v>
      </x:c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226" t="n">
        <x:v>16</x:v>
      </x:c>
      <x:c r="B26" s="226" t="str">
        <x:f>IF(A26=0,"Старт",IF(A26&lt;='Допущения'!$C$12,"Разработка","Эксплуатация"))</x:f>
        <x:v>Эксплуатация</x:v>
      </x:c>
      <x:c r="C26" s="297" t="n">
        <x:f>IF(AND(A26&gt;=1,A26&lt;='Допущения'!$C$12),'Сравнение'!$B$31/'Допущения'!$C$12,0)</x:f>
        <x:v>0</x:v>
      </x:c>
      <x:c r="D26" s="297" t="n">
        <x:f>IF(A26=0,'Сравнение'!$B$32+'Сравнение'!$B$35+'Сравнение'!$B$36+'Сравнение'!$B$38,0)</x:f>
        <x:v>0</x:v>
      </x:c>
      <x:c r="E26" s="297" t="n">
        <x:f>IF(A26&gt;'Допущения'!$C$12,'Сравнение'!$B$43/12,0)</x:f>
        <x:v>125833.33333333333</x:v>
      </x:c>
      <x:c r="F26" s="297" t="n">
        <x:f>SUM(C26:E26)</x:f>
        <x:v>125833.33333333333</x:v>
      </x:c>
      <x:c r="G26" s="297" t="n">
        <x:f>IF(A26&gt;'Допущения'!$C$12,IF($A$5="Студенты",'Сравнение'!$D$9/12,'Сравнение'!$H$9/12),0)</x:f>
        <x:v>1752000</x:v>
      </x:c>
      <x:c r="H26" s="297" t="n">
        <x:f>IF(A26&gt;'Допущения'!$C$12,IF($A$5="Студенты",'Сравнение'!$D$13/12,'Сравнение'!$H$13/12),0)</x:f>
        <x:v>571428.5714285715</x:v>
      </x:c>
      <x:c r="I26" s="297" t="n">
        <x:f>IF(A26&gt;'Допущения'!$C$12,IF($A$5="Студенты",'Сравнение'!$D$17/12,'Сравнение'!$H$17/12),0)</x:f>
        <x:v>37333.333333333336</x:v>
      </x:c>
      <x:c r="J26" s="297" t="n">
        <x:f>SUM(G26:I26)</x:f>
        <x:v>2360761.904761905</x:v>
      </x:c>
      <x:c r="K26" s="297" t="n">
        <x:f>J26-F26</x:f>
        <x:v>2234928.5714285714</x:v>
      </x:c>
      <x:c r="L26" s="297" t="n">
        <x:f>L25+F26</x:f>
        <x:v>22213333.33333332</x:v>
      </x:c>
      <x:c r="M26" s="297" t="n">
        <x:f>M25+J26</x:f>
        <x:v>23607619.047619045</x:v>
      </x:c>
      <x:c r="N26" s="297" t="n">
        <x:f>N25+K26</x:f>
        <x:v>1394285.7142857104</x:v>
      </x:c>
      <x:c r="O26" s="298" t="n">
        <x:f>IF(AND(N26&gt;=0,N25&lt;0),A26,0)</x:f>
        <x:v>16</x:v>
      </x:c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226" t="n">
        <x:v>17</x:v>
      </x:c>
      <x:c r="B27" s="226" t="str">
        <x:f>IF(A27=0,"Старт",IF(A27&lt;='Допущения'!$C$12,"Разработка","Эксплуатация"))</x:f>
        <x:v>Эксплуатация</x:v>
      </x:c>
      <x:c r="C27" s="297" t="n">
        <x:f>IF(AND(A27&gt;=1,A27&lt;='Допущения'!$C$12),'Сравнение'!$B$31/'Допущения'!$C$12,0)</x:f>
        <x:v>0</x:v>
      </x:c>
      <x:c r="D27" s="297" t="n">
        <x:f>IF(A27=0,'Сравнение'!$B$32+'Сравнение'!$B$35+'Сравнение'!$B$36+'Сравнение'!$B$38,0)</x:f>
        <x:v>0</x:v>
      </x:c>
      <x:c r="E27" s="297" t="n">
        <x:f>IF(A27&gt;'Допущения'!$C$12,'Сравнение'!$B$43/12,0)</x:f>
        <x:v>125833.33333333333</x:v>
      </x:c>
      <x:c r="F27" s="297" t="n">
        <x:f>SUM(C27:E27)</x:f>
        <x:v>125833.33333333333</x:v>
      </x:c>
      <x:c r="G27" s="297" t="n">
        <x:f>IF(A27&gt;'Допущения'!$C$12,IF($A$5="Студенты",'Сравнение'!$D$9/12,'Сравнение'!$H$9/12),0)</x:f>
        <x:v>1752000</x:v>
      </x:c>
      <x:c r="H27" s="297" t="n">
        <x:f>IF(A27&gt;'Допущения'!$C$12,IF($A$5="Студенты",'Сравнение'!$D$13/12,'Сравнение'!$H$13/12),0)</x:f>
        <x:v>571428.5714285715</x:v>
      </x:c>
      <x:c r="I27" s="297" t="n">
        <x:f>IF(A27&gt;'Допущения'!$C$12,IF($A$5="Студенты",'Сравнение'!$D$17/12,'Сравнение'!$H$17/12),0)</x:f>
        <x:v>37333.333333333336</x:v>
      </x:c>
      <x:c r="J27" s="297" t="n">
        <x:f>SUM(G27:I27)</x:f>
        <x:v>2360761.904761905</x:v>
      </x:c>
      <x:c r="K27" s="297" t="n">
        <x:f>J27-F27</x:f>
        <x:v>2234928.5714285714</x:v>
      </x:c>
      <x:c r="L27" s="297" t="n">
        <x:f>L26+F27</x:f>
        <x:v>22339166.666666653</x:v>
      </x:c>
      <x:c r="M27" s="297" t="n">
        <x:f>M26+J27</x:f>
        <x:v>25968380.952380948</x:v>
      </x:c>
      <x:c r="N27" s="297" t="n">
        <x:f>N26+K27</x:f>
        <x:v>3629214.2857142817</x:v>
      </x:c>
      <x:c r="O27" s="298" t="n">
        <x:f>IF(AND(N27&gt;=0,N26&lt;0),A27,0)</x:f>
        <x:v>0</x:v>
      </x:c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226" t="n">
        <x:v>18</x:v>
      </x:c>
      <x:c r="B28" s="226" t="str">
        <x:f>IF(A28=0,"Старт",IF(A28&lt;='Допущения'!$C$12,"Разработка","Эксплуатация"))</x:f>
        <x:v>Эксплуатация</x:v>
      </x:c>
      <x:c r="C28" s="297" t="n">
        <x:f>IF(AND(A28&gt;=1,A28&lt;='Допущения'!$C$12),'Сравнение'!$B$31/'Допущения'!$C$12,0)</x:f>
        <x:v>0</x:v>
      </x:c>
      <x:c r="D28" s="297" t="n">
        <x:f>IF(A28=0,'Сравнение'!$B$32+'Сравнение'!$B$35+'Сравнение'!$B$36+'Сравнение'!$B$38,0)</x:f>
        <x:v>0</x:v>
      </x:c>
      <x:c r="E28" s="297" t="n">
        <x:f>IF(A28&gt;'Допущения'!$C$12,'Сравнение'!$B$43/12,0)</x:f>
        <x:v>125833.33333333333</x:v>
      </x:c>
      <x:c r="F28" s="297" t="n">
        <x:f>SUM(C28:E28)</x:f>
        <x:v>125833.33333333333</x:v>
      </x:c>
      <x:c r="G28" s="297" t="n">
        <x:f>IF(A28&gt;'Допущения'!$C$12,IF($A$5="Студенты",'Сравнение'!$D$9/12,'Сравнение'!$H$9/12),0)</x:f>
        <x:v>1752000</x:v>
      </x:c>
      <x:c r="H28" s="297" t="n">
        <x:f>IF(A28&gt;'Допущения'!$C$12,IF($A$5="Студенты",'Сравнение'!$D$13/12,'Сравнение'!$H$13/12),0)</x:f>
        <x:v>571428.5714285715</x:v>
      </x:c>
      <x:c r="I28" s="297" t="n">
        <x:f>IF(A28&gt;'Допущения'!$C$12,IF($A$5="Студенты",'Сравнение'!$D$17/12,'Сравнение'!$H$17/12),0)</x:f>
        <x:v>37333.333333333336</x:v>
      </x:c>
      <x:c r="J28" s="297" t="n">
        <x:f>SUM(G28:I28)</x:f>
        <x:v>2360761.904761905</x:v>
      </x:c>
      <x:c r="K28" s="297" t="n">
        <x:f>J28-F28</x:f>
        <x:v>2234928.5714285714</x:v>
      </x:c>
      <x:c r="L28" s="297" t="n">
        <x:f>L27+F28</x:f>
        <x:v>22464999.999999985</x:v>
      </x:c>
      <x:c r="M28" s="297" t="n">
        <x:f>M27+J28</x:f>
        <x:v>28329142.85714285</x:v>
      </x:c>
      <x:c r="N28" s="297" t="n">
        <x:f>N27+K28</x:f>
        <x:v>5864142.857142853</x:v>
      </x:c>
      <x:c r="O28" s="298" t="n">
        <x:f>IF(AND(N28&gt;=0,N27&lt;0),A28,0)</x:f>
        <x:v>0</x:v>
      </x:c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226" t="n">
        <x:v>19</x:v>
      </x:c>
      <x:c r="B29" s="226" t="str">
        <x:f>IF(A29=0,"Старт",IF(A29&lt;='Допущения'!$C$12,"Разработка","Эксплуатация"))</x:f>
        <x:v>Эксплуатация</x:v>
      </x:c>
      <x:c r="C29" s="297" t="n">
        <x:f>IF(AND(A29&gt;=1,A29&lt;='Допущения'!$C$12),'Сравнение'!$B$31/'Допущения'!$C$12,0)</x:f>
        <x:v>0</x:v>
      </x:c>
      <x:c r="D29" s="297" t="n">
        <x:f>IF(A29=0,'Сравнение'!$B$32+'Сравнение'!$B$35+'Сравнение'!$B$36+'Сравнение'!$B$38,0)</x:f>
        <x:v>0</x:v>
      </x:c>
      <x:c r="E29" s="297" t="n">
        <x:f>IF(A29&gt;'Допущения'!$C$12,'Сравнение'!$B$43/12,0)</x:f>
        <x:v>125833.33333333333</x:v>
      </x:c>
      <x:c r="F29" s="297" t="n">
        <x:f>SUM(C29:E29)</x:f>
        <x:v>125833.33333333333</x:v>
      </x:c>
      <x:c r="G29" s="297" t="n">
        <x:f>IF(A29&gt;'Допущения'!$C$12,IF($A$5="Студенты",'Сравнение'!$D$9/12,'Сравнение'!$H$9/12),0)</x:f>
        <x:v>1752000</x:v>
      </x:c>
      <x:c r="H29" s="297" t="n">
        <x:f>IF(A29&gt;'Допущения'!$C$12,IF($A$5="Студенты",'Сравнение'!$D$13/12,'Сравнение'!$H$13/12),0)</x:f>
        <x:v>571428.5714285715</x:v>
      </x:c>
      <x:c r="I29" s="297" t="n">
        <x:f>IF(A29&gt;'Допущения'!$C$12,IF($A$5="Студенты",'Сравнение'!$D$17/12,'Сравнение'!$H$17/12),0)</x:f>
        <x:v>37333.333333333336</x:v>
      </x:c>
      <x:c r="J29" s="297" t="n">
        <x:f>SUM(G29:I29)</x:f>
        <x:v>2360761.904761905</x:v>
      </x:c>
      <x:c r="K29" s="297" t="n">
        <x:f>J29-F29</x:f>
        <x:v>2234928.5714285714</x:v>
      </x:c>
      <x:c r="L29" s="297" t="n">
        <x:f>L28+F29</x:f>
        <x:v>22590833.333333317</x:v>
      </x:c>
      <x:c r="M29" s="297" t="n">
        <x:f>M28+J29</x:f>
        <x:v>30689904.761904754</x:v>
      </x:c>
      <x:c r="N29" s="297" t="n">
        <x:f>N28+K29</x:f>
        <x:v>8099071.4285714235</x:v>
      </x:c>
      <x:c r="O29" s="298" t="n">
        <x:f>IF(AND(N29&gt;=0,N28&lt;0),A29,0)</x:f>
        <x:v>0</x:v>
      </x:c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226" t="n">
        <x:v>20</x:v>
      </x:c>
      <x:c r="B30" s="226" t="str">
        <x:f>IF(A30=0,"Старт",IF(A30&lt;='Допущения'!$C$12,"Разработка","Эксплуатация"))</x:f>
        <x:v>Эксплуатация</x:v>
      </x:c>
      <x:c r="C30" s="297" t="n">
        <x:f>IF(AND(A30&gt;=1,A30&lt;='Допущения'!$C$12),'Сравнение'!$B$31/'Допущения'!$C$12,0)</x:f>
        <x:v>0</x:v>
      </x:c>
      <x:c r="D30" s="297" t="n">
        <x:f>IF(A30=0,'Сравнение'!$B$32+'Сравнение'!$B$35+'Сравнение'!$B$36+'Сравнение'!$B$38,0)</x:f>
        <x:v>0</x:v>
      </x:c>
      <x:c r="E30" s="297" t="n">
        <x:f>IF(A30&gt;'Допущения'!$C$12,'Сравнение'!$B$43/12,0)</x:f>
        <x:v>125833.33333333333</x:v>
      </x:c>
      <x:c r="F30" s="297" t="n">
        <x:f>SUM(C30:E30)</x:f>
        <x:v>125833.33333333333</x:v>
      </x:c>
      <x:c r="G30" s="297" t="n">
        <x:f>IF(A30&gt;'Допущения'!$C$12,IF($A$5="Студенты",'Сравнение'!$D$9/12,'Сравнение'!$H$9/12),0)</x:f>
        <x:v>1752000</x:v>
      </x:c>
      <x:c r="H30" s="297" t="n">
        <x:f>IF(A30&gt;'Допущения'!$C$12,IF($A$5="Студенты",'Сравнение'!$D$13/12,'Сравнение'!$H$13/12),0)</x:f>
        <x:v>571428.5714285715</x:v>
      </x:c>
      <x:c r="I30" s="297" t="n">
        <x:f>IF(A30&gt;'Допущения'!$C$12,IF($A$5="Студенты",'Сравнение'!$D$17/12,'Сравнение'!$H$17/12),0)</x:f>
        <x:v>37333.333333333336</x:v>
      </x:c>
      <x:c r="J30" s="297" t="n">
        <x:f>SUM(G30:I30)</x:f>
        <x:v>2360761.904761905</x:v>
      </x:c>
      <x:c r="K30" s="297" t="n">
        <x:f>J30-F30</x:f>
        <x:v>2234928.5714285714</x:v>
      </x:c>
      <x:c r="L30" s="297" t="n">
        <x:f>L29+F30</x:f>
        <x:v>22716666.66666665</x:v>
      </x:c>
      <x:c r="M30" s="297" t="n">
        <x:f>M29+J30</x:f>
        <x:v>33050666.666666657</x:v>
      </x:c>
      <x:c r="N30" s="297" t="n">
        <x:f>N29+K30</x:f>
        <x:v>10333999.999999994</x:v>
      </x:c>
      <x:c r="O30" s="298" t="n">
        <x:f>IF(AND(N30&gt;=0,N29&lt;0),A30,0)</x:f>
        <x:v>0</x:v>
      </x:c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226" t="n">
        <x:v>21</x:v>
      </x:c>
      <x:c r="B31" s="226" t="str">
        <x:f>IF(A31=0,"Старт",IF(A31&lt;='Допущения'!$C$12,"Разработка","Эксплуатация"))</x:f>
        <x:v>Эксплуатация</x:v>
      </x:c>
      <x:c r="C31" s="297" t="n">
        <x:f>IF(AND(A31&gt;=1,A31&lt;='Допущения'!$C$12),'Сравнение'!$B$31/'Допущения'!$C$12,0)</x:f>
        <x:v>0</x:v>
      </x:c>
      <x:c r="D31" s="297" t="n">
        <x:f>IF(A31=0,'Сравнение'!$B$32+'Сравнение'!$B$35+'Сравнение'!$B$36+'Сравнение'!$B$38,0)</x:f>
        <x:v>0</x:v>
      </x:c>
      <x:c r="E31" s="297" t="n">
        <x:f>IF(A31&gt;'Допущения'!$C$12,'Сравнение'!$B$43/12,0)</x:f>
        <x:v>125833.33333333333</x:v>
      </x:c>
      <x:c r="F31" s="297" t="n">
        <x:f>SUM(C31:E31)</x:f>
        <x:v>125833.33333333333</x:v>
      </x:c>
      <x:c r="G31" s="297" t="n">
        <x:f>IF(A31&gt;'Допущения'!$C$12,IF($A$5="Студенты",'Сравнение'!$D$9/12,'Сравнение'!$H$9/12),0)</x:f>
        <x:v>1752000</x:v>
      </x:c>
      <x:c r="H31" s="297" t="n">
        <x:f>IF(A31&gt;'Допущения'!$C$12,IF($A$5="Студенты",'Сравнение'!$D$13/12,'Сравнение'!$H$13/12),0)</x:f>
        <x:v>571428.5714285715</x:v>
      </x:c>
      <x:c r="I31" s="297" t="n">
        <x:f>IF(A31&gt;'Допущения'!$C$12,IF($A$5="Студенты",'Сравнение'!$D$17/12,'Сравнение'!$H$17/12),0)</x:f>
        <x:v>37333.333333333336</x:v>
      </x:c>
      <x:c r="J31" s="297" t="n">
        <x:f>SUM(G31:I31)</x:f>
        <x:v>2360761.904761905</x:v>
      </x:c>
      <x:c r="K31" s="297" t="n">
        <x:f>J31-F31</x:f>
        <x:v>2234928.5714285714</x:v>
      </x:c>
      <x:c r="L31" s="297" t="n">
        <x:f>L30+F31</x:f>
        <x:v>22842499.99999998</x:v>
      </x:c>
      <x:c r="M31" s="297" t="n">
        <x:f>M30+J31</x:f>
        <x:v>35411428.57142856</x:v>
      </x:c>
      <x:c r="N31" s="297" t="n">
        <x:f>N30+K31</x:f>
        <x:v>12568928.571428565</x:v>
      </x:c>
      <x:c r="O31" s="298" t="n">
        <x:f>IF(AND(N31&gt;=0,N30&lt;0),A31,0)</x:f>
        <x:v>0</x:v>
      </x:c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226" t="n">
        <x:v>22</x:v>
      </x:c>
      <x:c r="B32" s="226" t="str">
        <x:f>IF(A32=0,"Старт",IF(A32&lt;='Допущения'!$C$12,"Разработка","Эксплуатация"))</x:f>
        <x:v>Эксплуатация</x:v>
      </x:c>
      <x:c r="C32" s="297" t="n">
        <x:f>IF(AND(A32&gt;=1,A32&lt;='Допущения'!$C$12),'Сравнение'!$B$31/'Допущения'!$C$12,0)</x:f>
        <x:v>0</x:v>
      </x:c>
      <x:c r="D32" s="297" t="n">
        <x:f>IF(A32=0,'Сравнение'!$B$32+'Сравнение'!$B$35+'Сравнение'!$B$36+'Сравнение'!$B$38,0)</x:f>
        <x:v>0</x:v>
      </x:c>
      <x:c r="E32" s="297" t="n">
        <x:f>IF(A32&gt;'Допущения'!$C$12,'Сравнение'!$B$43/12,0)</x:f>
        <x:v>125833.33333333333</x:v>
      </x:c>
      <x:c r="F32" s="297" t="n">
        <x:f>SUM(C32:E32)</x:f>
        <x:v>125833.33333333333</x:v>
      </x:c>
      <x:c r="G32" s="297" t="n">
        <x:f>IF(A32&gt;'Допущения'!$C$12,IF($A$5="Студенты",'Сравнение'!$D$9/12,'Сравнение'!$H$9/12),0)</x:f>
        <x:v>1752000</x:v>
      </x:c>
      <x:c r="H32" s="297" t="n">
        <x:f>IF(A32&gt;'Допущения'!$C$12,IF($A$5="Студенты",'Сравнение'!$D$13/12,'Сравнение'!$H$13/12),0)</x:f>
        <x:v>571428.5714285715</x:v>
      </x:c>
      <x:c r="I32" s="297" t="n">
        <x:f>IF(A32&gt;'Допущения'!$C$12,IF($A$5="Студенты",'Сравнение'!$D$17/12,'Сравнение'!$H$17/12),0)</x:f>
        <x:v>37333.333333333336</x:v>
      </x:c>
      <x:c r="J32" s="297" t="n">
        <x:f>SUM(G32:I32)</x:f>
        <x:v>2360761.904761905</x:v>
      </x:c>
      <x:c r="K32" s="297" t="n">
        <x:f>J32-F32</x:f>
        <x:v>2234928.5714285714</x:v>
      </x:c>
      <x:c r="L32" s="297" t="n">
        <x:f>L31+F32</x:f>
        <x:v>22968333.333333313</x:v>
      </x:c>
      <x:c r="M32" s="297" t="n">
        <x:f>M31+J32</x:f>
        <x:v>37772190.47619046</x:v>
      </x:c>
      <x:c r="N32" s="297" t="n">
        <x:f>N31+K32</x:f>
        <x:v>14803857.142857136</x:v>
      </x:c>
      <x:c r="O32" s="298" t="n">
        <x:f>IF(AND(N32&gt;=0,N31&lt;0),A32,0)</x:f>
        <x:v>0</x:v>
      </x:c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226" t="n">
        <x:v>23</x:v>
      </x:c>
      <x:c r="B33" s="226" t="str">
        <x:f>IF(A33=0,"Старт",IF(A33&lt;='Допущения'!$C$12,"Разработка","Эксплуатация"))</x:f>
        <x:v>Эксплуатация</x:v>
      </x:c>
      <x:c r="C33" s="297" t="n">
        <x:f>IF(AND(A33&gt;=1,A33&lt;='Допущения'!$C$12),'Сравнение'!$B$31/'Допущения'!$C$12,0)</x:f>
        <x:v>0</x:v>
      </x:c>
      <x:c r="D33" s="297" t="n">
        <x:f>IF(A33=0,'Сравнение'!$B$32+'Сравнение'!$B$35+'Сравнение'!$B$36+'Сравнение'!$B$38,0)</x:f>
        <x:v>0</x:v>
      </x:c>
      <x:c r="E33" s="297" t="n">
        <x:f>IF(A33&gt;'Допущения'!$C$12,'Сравнение'!$B$43/12,0)</x:f>
        <x:v>125833.33333333333</x:v>
      </x:c>
      <x:c r="F33" s="297" t="n">
        <x:f>SUM(C33:E33)</x:f>
        <x:v>125833.33333333333</x:v>
      </x:c>
      <x:c r="G33" s="297" t="n">
        <x:f>IF(A33&gt;'Допущения'!$C$12,IF($A$5="Студенты",'Сравнение'!$D$9/12,'Сравнение'!$H$9/12),0)</x:f>
        <x:v>1752000</x:v>
      </x:c>
      <x:c r="H33" s="297" t="n">
        <x:f>IF(A33&gt;'Допущения'!$C$12,IF($A$5="Студенты",'Сравнение'!$D$13/12,'Сравнение'!$H$13/12),0)</x:f>
        <x:v>571428.5714285715</x:v>
      </x:c>
      <x:c r="I33" s="297" t="n">
        <x:f>IF(A33&gt;'Допущения'!$C$12,IF($A$5="Студенты",'Сравнение'!$D$17/12,'Сравнение'!$H$17/12),0)</x:f>
        <x:v>37333.333333333336</x:v>
      </x:c>
      <x:c r="J33" s="297" t="n">
        <x:f>SUM(G33:I33)</x:f>
        <x:v>2360761.904761905</x:v>
      </x:c>
      <x:c r="K33" s="297" t="n">
        <x:f>J33-F33</x:f>
        <x:v>2234928.5714285714</x:v>
      </x:c>
      <x:c r="L33" s="297" t="n">
        <x:f>L32+F33</x:f>
        <x:v>23094166.666666646</x:v>
      </x:c>
      <x:c r="M33" s="297" t="n">
        <x:f>M32+J33</x:f>
        <x:v>40132952.380952366</x:v>
      </x:c>
      <x:c r="N33" s="297" t="n">
        <x:f>N32+K33</x:f>
        <x:v>17038785.71428571</x:v>
      </x:c>
      <x:c r="O33" s="298" t="n">
        <x:f>IF(AND(N33&gt;=0,N32&lt;0),A33,0)</x:f>
        <x:v>0</x:v>
      </x:c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226" t="n">
        <x:v>24</x:v>
      </x:c>
      <x:c r="B34" s="226" t="str">
        <x:f>IF(A34=0,"Старт",IF(A34&lt;='Допущения'!$C$12,"Разработка","Эксплуатация"))</x:f>
        <x:v>Эксплуатация</x:v>
      </x:c>
      <x:c r="C34" s="297" t="n">
        <x:f>IF(AND(A34&gt;=1,A34&lt;='Допущения'!$C$12),'Сравнение'!$B$31/'Допущения'!$C$12,0)</x:f>
        <x:v>0</x:v>
      </x:c>
      <x:c r="D34" s="297" t="n">
        <x:f>IF(A34=0,'Сравнение'!$B$32+'Сравнение'!$B$35+'Сравнение'!$B$36+'Сравнение'!$B$38,0)</x:f>
        <x:v>0</x:v>
      </x:c>
      <x:c r="E34" s="297" t="n">
        <x:f>IF(A34&gt;'Допущения'!$C$12,'Сравнение'!$B$43/12,0)</x:f>
        <x:v>125833.33333333333</x:v>
      </x:c>
      <x:c r="F34" s="297" t="n">
        <x:f>SUM(C34:E34)</x:f>
        <x:v>125833.33333333333</x:v>
      </x:c>
      <x:c r="G34" s="297" t="n">
        <x:f>IF(A34&gt;'Допущения'!$C$12,IF($A$5="Студенты",'Сравнение'!$D$9/12,'Сравнение'!$H$9/12),0)</x:f>
        <x:v>1752000</x:v>
      </x:c>
      <x:c r="H34" s="297" t="n">
        <x:f>IF(A34&gt;'Допущения'!$C$12,IF($A$5="Студенты",'Сравнение'!$D$13/12,'Сравнение'!$H$13/12),0)</x:f>
        <x:v>571428.5714285715</x:v>
      </x:c>
      <x:c r="I34" s="297" t="n">
        <x:f>IF(A34&gt;'Допущения'!$C$12,IF($A$5="Студенты",'Сравнение'!$D$17/12,'Сравнение'!$H$17/12),0)</x:f>
        <x:v>37333.333333333336</x:v>
      </x:c>
      <x:c r="J34" s="297" t="n">
        <x:f>SUM(G34:I34)</x:f>
        <x:v>2360761.904761905</x:v>
      </x:c>
      <x:c r="K34" s="297" t="n">
        <x:f>J34-F34</x:f>
        <x:v>2234928.5714285714</x:v>
      </x:c>
      <x:c r="L34" s="297" t="n">
        <x:f>L33+F34</x:f>
        <x:v>23219999.999999978</x:v>
      </x:c>
      <x:c r="M34" s="297" t="n">
        <x:f>M33+J34</x:f>
        <x:v>42493714.28571427</x:v>
      </x:c>
      <x:c r="N34" s="297" t="n">
        <x:f>N33+K34</x:f>
        <x:v>19273714.28571428</x:v>
      </x:c>
      <x:c r="O34" s="298" t="n">
        <x:f>IF(AND(N34&gt;=0,N33&lt;0),A34,0)</x:f>
        <x:v>0</x:v>
      </x:c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226" t="n">
        <x:v>25</x:v>
      </x:c>
      <x:c r="B35" s="226" t="str">
        <x:f>IF(A35=0,"Старт",IF(A35&lt;='Допущения'!$C$12,"Разработка","Эксплуатация"))</x:f>
        <x:v>Эксплуатация</x:v>
      </x:c>
      <x:c r="C35" s="297" t="n">
        <x:f>IF(AND(A35&gt;=1,A35&lt;='Допущения'!$C$12),'Сравнение'!$B$31/'Допущения'!$C$12,0)</x:f>
        <x:v>0</x:v>
      </x:c>
      <x:c r="D35" s="297" t="n">
        <x:f>IF(A35=0,'Сравнение'!$B$32+'Сравнение'!$B$35+'Сравнение'!$B$36+'Сравнение'!$B$38,0)</x:f>
        <x:v>0</x:v>
      </x:c>
      <x:c r="E35" s="297" t="n">
        <x:f>IF(A35&gt;'Допущения'!$C$12,'Сравнение'!$B$43/12,0)</x:f>
        <x:v>125833.33333333333</x:v>
      </x:c>
      <x:c r="F35" s="297" t="n">
        <x:f>SUM(C35:E35)</x:f>
        <x:v>125833.33333333333</x:v>
      </x:c>
      <x:c r="G35" s="297" t="n">
        <x:f>IF(A35&gt;'Допущения'!$C$12,IF($A$5="Студенты",'Сравнение'!$D$9/12,'Сравнение'!$H$9/12),0)</x:f>
        <x:v>1752000</x:v>
      </x:c>
      <x:c r="H35" s="297" t="n">
        <x:f>IF(A35&gt;'Допущения'!$C$12,IF($A$5="Студенты",'Сравнение'!$D$13/12,'Сравнение'!$H$13/12),0)</x:f>
        <x:v>571428.5714285715</x:v>
      </x:c>
      <x:c r="I35" s="297" t="n">
        <x:f>IF(A35&gt;'Допущения'!$C$12,IF($A$5="Студенты",'Сравнение'!$D$17/12,'Сравнение'!$H$17/12),0)</x:f>
        <x:v>37333.333333333336</x:v>
      </x:c>
      <x:c r="J35" s="297" t="n">
        <x:f>SUM(G35:I35)</x:f>
        <x:v>2360761.904761905</x:v>
      </x:c>
      <x:c r="K35" s="297" t="n">
        <x:f>J35-F35</x:f>
        <x:v>2234928.5714285714</x:v>
      </x:c>
      <x:c r="L35" s="297" t="n">
        <x:f>L34+F35</x:f>
        <x:v>23345833.33333331</x:v>
      </x:c>
      <x:c r="M35" s="297" t="n">
        <x:f>M34+J35</x:f>
        <x:v>44854476.19047617</x:v>
      </x:c>
      <x:c r="N35" s="297" t="n">
        <x:f>N34+K35</x:f>
        <x:v>21508642.85714285</x:v>
      </x:c>
      <x:c r="O35" s="298" t="n">
        <x:f>IF(AND(N35&gt;=0,N34&lt;0),A35,0)</x:f>
        <x:v>0</x:v>
      </x:c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226" t="n">
        <x:v>26</x:v>
      </x:c>
      <x:c r="B36" s="226" t="str">
        <x:f>IF(A36=0,"Старт",IF(A36&lt;='Допущения'!$C$12,"Разработка","Эксплуатация"))</x:f>
        <x:v>Эксплуатация</x:v>
      </x:c>
      <x:c r="C36" s="297" t="n">
        <x:f>IF(AND(A36&gt;=1,A36&lt;='Допущения'!$C$12),'Сравнение'!$B$31/'Допущения'!$C$12,0)</x:f>
        <x:v>0</x:v>
      </x:c>
      <x:c r="D36" s="297" t="n">
        <x:f>IF(A36=0,'Сравнение'!$B$32+'Сравнение'!$B$35+'Сравнение'!$B$36+'Сравнение'!$B$38,0)</x:f>
        <x:v>0</x:v>
      </x:c>
      <x:c r="E36" s="297" t="n">
        <x:f>IF(A36&gt;'Допущения'!$C$12,'Сравнение'!$B$43/12,0)</x:f>
        <x:v>125833.33333333333</x:v>
      </x:c>
      <x:c r="F36" s="297" t="n">
        <x:f>SUM(C36:E36)</x:f>
        <x:v>125833.33333333333</x:v>
      </x:c>
      <x:c r="G36" s="297" t="n">
        <x:f>IF(A36&gt;'Допущения'!$C$12,IF($A$5="Студенты",'Сравнение'!$D$9/12,'Сравнение'!$H$9/12),0)</x:f>
        <x:v>1752000</x:v>
      </x:c>
      <x:c r="H36" s="297" t="n">
        <x:f>IF(A36&gt;'Допущения'!$C$12,IF($A$5="Студенты",'Сравнение'!$D$13/12,'Сравнение'!$H$13/12),0)</x:f>
        <x:v>571428.5714285715</x:v>
      </x:c>
      <x:c r="I36" s="297" t="n">
        <x:f>IF(A36&gt;'Допущения'!$C$12,IF($A$5="Студенты",'Сравнение'!$D$17/12,'Сравнение'!$H$17/12),0)</x:f>
        <x:v>37333.333333333336</x:v>
      </x:c>
      <x:c r="J36" s="297" t="n">
        <x:f>SUM(G36:I36)</x:f>
        <x:v>2360761.904761905</x:v>
      </x:c>
      <x:c r="K36" s="297" t="n">
        <x:f>J36-F36</x:f>
        <x:v>2234928.5714285714</x:v>
      </x:c>
      <x:c r="L36" s="297" t="n">
        <x:f>L35+F36</x:f>
        <x:v>23471666.66666664</x:v>
      </x:c>
      <x:c r="M36" s="297" t="n">
        <x:f>M35+J36</x:f>
        <x:v>47215238.095238075</x:v>
      </x:c>
      <x:c r="N36" s="297" t="n">
        <x:f>N35+K36</x:f>
        <x:v>23743571.42857142</x:v>
      </x:c>
      <x:c r="O36" s="298" t="n">
        <x:f>IF(AND(N36&gt;=0,N35&lt;0),A36,0)</x:f>
        <x:v>0</x:v>
      </x:c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226" t="n">
        <x:v>27</x:v>
      </x:c>
      <x:c r="B37" s="226" t="str">
        <x:f>IF(A37=0,"Старт",IF(A37&lt;='Допущения'!$C$12,"Разработка","Эксплуатация"))</x:f>
        <x:v>Эксплуатация</x:v>
      </x:c>
      <x:c r="C37" s="297" t="n">
        <x:f>IF(AND(A37&gt;=1,A37&lt;='Допущения'!$C$12),'Сравнение'!$B$31/'Допущения'!$C$12,0)</x:f>
        <x:v>0</x:v>
      </x:c>
      <x:c r="D37" s="297" t="n">
        <x:f>IF(A37=0,'Сравнение'!$B$32+'Сравнение'!$B$35+'Сравнение'!$B$36+'Сравнение'!$B$38,0)</x:f>
        <x:v>0</x:v>
      </x:c>
      <x:c r="E37" s="297" t="n">
        <x:f>IF(A37&gt;'Допущения'!$C$12,'Сравнение'!$B$43/12,0)</x:f>
        <x:v>125833.33333333333</x:v>
      </x:c>
      <x:c r="F37" s="297" t="n">
        <x:f>SUM(C37:E37)</x:f>
        <x:v>125833.33333333333</x:v>
      </x:c>
      <x:c r="G37" s="297" t="n">
        <x:f>IF(A37&gt;'Допущения'!$C$12,IF($A$5="Студенты",'Сравнение'!$D$9/12,'Сравнение'!$H$9/12),0)</x:f>
        <x:v>1752000</x:v>
      </x:c>
      <x:c r="H37" s="297" t="n">
        <x:f>IF(A37&gt;'Допущения'!$C$12,IF($A$5="Студенты",'Сравнение'!$D$13/12,'Сравнение'!$H$13/12),0)</x:f>
        <x:v>571428.5714285715</x:v>
      </x:c>
      <x:c r="I37" s="297" t="n">
        <x:f>IF(A37&gt;'Допущения'!$C$12,IF($A$5="Студенты",'Сравнение'!$D$17/12,'Сравнение'!$H$17/12),0)</x:f>
        <x:v>37333.333333333336</x:v>
      </x:c>
      <x:c r="J37" s="297" t="n">
        <x:f>SUM(G37:I37)</x:f>
        <x:v>2360761.904761905</x:v>
      </x:c>
      <x:c r="K37" s="297" t="n">
        <x:f>J37-F37</x:f>
        <x:v>2234928.5714285714</x:v>
      </x:c>
      <x:c r="L37" s="297" t="n">
        <x:f>L36+F37</x:f>
        <x:v>23597499.999999974</x:v>
      </x:c>
      <x:c r="M37" s="297" t="n">
        <x:f>M36+J37</x:f>
        <x:v>49575999.99999998</x:v>
      </x:c>
      <x:c r="N37" s="297" t="n">
        <x:f>N36+K37</x:f>
        <x:v>25978499.999999993</x:v>
      </x:c>
      <x:c r="O37" s="298" t="n">
        <x:f>IF(AND(N37&gt;=0,N36&lt;0),A37,0)</x:f>
        <x:v>0</x:v>
      </x:c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226" t="n">
        <x:v>28</x:v>
      </x:c>
      <x:c r="B38" s="226" t="str">
        <x:f>IF(A38=0,"Старт",IF(A38&lt;='Допущения'!$C$12,"Разработка","Эксплуатация"))</x:f>
        <x:v>Эксплуатация</x:v>
      </x:c>
      <x:c r="C38" s="297" t="n">
        <x:f>IF(AND(A38&gt;=1,A38&lt;='Допущения'!$C$12),'Сравнение'!$B$31/'Допущения'!$C$12,0)</x:f>
        <x:v>0</x:v>
      </x:c>
      <x:c r="D38" s="297" t="n">
        <x:f>IF(A38=0,'Сравнение'!$B$32+'Сравнение'!$B$35+'Сравнение'!$B$36+'Сравнение'!$B$38,0)</x:f>
        <x:v>0</x:v>
      </x:c>
      <x:c r="E38" s="297" t="n">
        <x:f>IF(A38&gt;'Допущения'!$C$12,'Сравнение'!$B$43/12,0)</x:f>
        <x:v>125833.33333333333</x:v>
      </x:c>
      <x:c r="F38" s="297" t="n">
        <x:f>SUM(C38:E38)</x:f>
        <x:v>125833.33333333333</x:v>
      </x:c>
      <x:c r="G38" s="297" t="n">
        <x:f>IF(A38&gt;'Допущения'!$C$12,IF($A$5="Студенты",'Сравнение'!$D$9/12,'Сравнение'!$H$9/12),0)</x:f>
        <x:v>1752000</x:v>
      </x:c>
      <x:c r="H38" s="297" t="n">
        <x:f>IF(A38&gt;'Допущения'!$C$12,IF($A$5="Студенты",'Сравнение'!$D$13/12,'Сравнение'!$H$13/12),0)</x:f>
        <x:v>571428.5714285715</x:v>
      </x:c>
      <x:c r="I38" s="297" t="n">
        <x:f>IF(A38&gt;'Допущения'!$C$12,IF($A$5="Студенты",'Сравнение'!$D$17/12,'Сравнение'!$H$17/12),0)</x:f>
        <x:v>37333.333333333336</x:v>
      </x:c>
      <x:c r="J38" s="297" t="n">
        <x:f>SUM(G38:I38)</x:f>
        <x:v>2360761.904761905</x:v>
      </x:c>
      <x:c r="K38" s="297" t="n">
        <x:f>J38-F38</x:f>
        <x:v>2234928.5714285714</x:v>
      </x:c>
      <x:c r="L38" s="297" t="n">
        <x:f>L37+F38</x:f>
        <x:v>23723333.333333306</x:v>
      </x:c>
      <x:c r="M38" s="297" t="n">
        <x:f>M37+J38</x:f>
        <x:v>51936761.90476188</x:v>
      </x:c>
      <x:c r="N38" s="297" t="n">
        <x:f>N37+K38</x:f>
        <x:v>28213428.571428563</x:v>
      </x:c>
      <x:c r="O38" s="298" t="n">
        <x:f>IF(AND(N38&gt;=0,N37&lt;0),A38,0)</x:f>
        <x:v>0</x:v>
      </x:c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226" t="n">
        <x:v>29</x:v>
      </x:c>
      <x:c r="B39" s="226" t="str">
        <x:f>IF(A39=0,"Старт",IF(A39&lt;='Допущения'!$C$12,"Разработка","Эксплуатация"))</x:f>
        <x:v>Эксплуатация</x:v>
      </x:c>
      <x:c r="C39" s="297" t="n">
        <x:f>IF(AND(A39&gt;=1,A39&lt;='Допущения'!$C$12),'Сравнение'!$B$31/'Допущения'!$C$12,0)</x:f>
        <x:v>0</x:v>
      </x:c>
      <x:c r="D39" s="297" t="n">
        <x:f>IF(A39=0,'Сравнение'!$B$32+'Сравнение'!$B$35+'Сравнение'!$B$36+'Сравнение'!$B$38,0)</x:f>
        <x:v>0</x:v>
      </x:c>
      <x:c r="E39" s="297" t="n">
        <x:f>IF(A39&gt;'Допущения'!$C$12,'Сравнение'!$B$43/12,0)</x:f>
        <x:v>125833.33333333333</x:v>
      </x:c>
      <x:c r="F39" s="297" t="n">
        <x:f>SUM(C39:E39)</x:f>
        <x:v>125833.33333333333</x:v>
      </x:c>
      <x:c r="G39" s="297" t="n">
        <x:f>IF(A39&gt;'Допущения'!$C$12,IF($A$5="Студенты",'Сравнение'!$D$9/12,'Сравнение'!$H$9/12),0)</x:f>
        <x:v>1752000</x:v>
      </x:c>
      <x:c r="H39" s="297" t="n">
        <x:f>IF(A39&gt;'Допущения'!$C$12,IF($A$5="Студенты",'Сравнение'!$D$13/12,'Сравнение'!$H$13/12),0)</x:f>
        <x:v>571428.5714285715</x:v>
      </x:c>
      <x:c r="I39" s="297" t="n">
        <x:f>IF(A39&gt;'Допущения'!$C$12,IF($A$5="Студенты",'Сравнение'!$D$17/12,'Сравнение'!$H$17/12),0)</x:f>
        <x:v>37333.333333333336</x:v>
      </x:c>
      <x:c r="J39" s="297" t="n">
        <x:f>SUM(G39:I39)</x:f>
        <x:v>2360761.904761905</x:v>
      </x:c>
      <x:c r="K39" s="297" t="n">
        <x:f>J39-F39</x:f>
        <x:v>2234928.5714285714</x:v>
      </x:c>
      <x:c r="L39" s="297" t="n">
        <x:f>L38+F39</x:f>
        <x:v>23849166.666666638</x:v>
      </x:c>
      <x:c r="M39" s="297" t="n">
        <x:f>M38+J39</x:f>
        <x:v>54297523.80952378</x:v>
      </x:c>
      <x:c r="N39" s="297" t="n">
        <x:f>N38+K39</x:f>
        <x:v>30448357.142857134</x:v>
      </x:c>
      <x:c r="O39" s="298" t="n">
        <x:f>IF(AND(N39&gt;=0,N38&lt;0),A39,0)</x:f>
        <x:v>0</x:v>
      </x:c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226" t="n">
        <x:v>30</x:v>
      </x:c>
      <x:c r="B40" s="226" t="str">
        <x:f>IF(A40=0,"Старт",IF(A40&lt;='Допущения'!$C$12,"Разработка","Эксплуатация"))</x:f>
        <x:v>Эксплуатация</x:v>
      </x:c>
      <x:c r="C40" s="297" t="n">
        <x:f>IF(AND(A40&gt;=1,A40&lt;='Допущения'!$C$12),'Сравнение'!$B$31/'Допущения'!$C$12,0)</x:f>
        <x:v>0</x:v>
      </x:c>
      <x:c r="D40" s="297" t="n">
        <x:f>IF(A40=0,'Сравнение'!$B$32+'Сравнение'!$B$35+'Сравнение'!$B$36+'Сравнение'!$B$38,0)</x:f>
        <x:v>0</x:v>
      </x:c>
      <x:c r="E40" s="297" t="n">
        <x:f>IF(A40&gt;'Допущения'!$C$12,'Сравнение'!$B$43/12,0)</x:f>
        <x:v>125833.33333333333</x:v>
      </x:c>
      <x:c r="F40" s="297" t="n">
        <x:f>SUM(C40:E40)</x:f>
        <x:v>125833.33333333333</x:v>
      </x:c>
      <x:c r="G40" s="297" t="n">
        <x:f>IF(A40&gt;'Допущения'!$C$12,IF($A$5="Студенты",'Сравнение'!$D$9/12,'Сравнение'!$H$9/12),0)</x:f>
        <x:v>1752000</x:v>
      </x:c>
      <x:c r="H40" s="297" t="n">
        <x:f>IF(A40&gt;'Допущения'!$C$12,IF($A$5="Студенты",'Сравнение'!$D$13/12,'Сравнение'!$H$13/12),0)</x:f>
        <x:v>571428.5714285715</x:v>
      </x:c>
      <x:c r="I40" s="297" t="n">
        <x:f>IF(A40&gt;'Допущения'!$C$12,IF($A$5="Студенты",'Сравнение'!$D$17/12,'Сравнение'!$H$17/12),0)</x:f>
        <x:v>37333.333333333336</x:v>
      </x:c>
      <x:c r="J40" s="297" t="n">
        <x:f>SUM(G40:I40)</x:f>
        <x:v>2360761.904761905</x:v>
      </x:c>
      <x:c r="K40" s="297" t="n">
        <x:f>J40-F40</x:f>
        <x:v>2234928.5714285714</x:v>
      </x:c>
      <x:c r="L40" s="297" t="n">
        <x:f>L39+F40</x:f>
        <x:v>23974999.99999997</x:v>
      </x:c>
      <x:c r="M40" s="297" t="n">
        <x:f>M39+J40</x:f>
        <x:v>56658285.71428569</x:v>
      </x:c>
      <x:c r="N40" s="297" t="n">
        <x:f>N39+K40</x:f>
        <x:v>32683285.714285705</x:v>
      </x:c>
      <x:c r="O40" s="298" t="n">
        <x:f>IF(AND(N40&gt;=0,N39&lt;0),A40,0)</x:f>
        <x:v>0</x:v>
      </x:c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226" t="n">
        <x:v>31</x:v>
      </x:c>
      <x:c r="B41" s="226" t="str">
        <x:f>IF(A41=0,"Старт",IF(A41&lt;='Допущения'!$C$12,"Разработка","Эксплуатация"))</x:f>
        <x:v>Эксплуатация</x:v>
      </x:c>
      <x:c r="C41" s="297" t="n">
        <x:f>IF(AND(A41&gt;=1,A41&lt;='Допущения'!$C$12),'Сравнение'!$B$31/'Допущения'!$C$12,0)</x:f>
        <x:v>0</x:v>
      </x:c>
      <x:c r="D41" s="297" t="n">
        <x:f>IF(A41=0,'Сравнение'!$B$32+'Сравнение'!$B$35+'Сравнение'!$B$36+'Сравнение'!$B$38,0)</x:f>
        <x:v>0</x:v>
      </x:c>
      <x:c r="E41" s="297" t="n">
        <x:f>IF(A41&gt;'Допущения'!$C$12,'Сравнение'!$B$43/12,0)</x:f>
        <x:v>125833.33333333333</x:v>
      </x:c>
      <x:c r="F41" s="297" t="n">
        <x:f>SUM(C41:E41)</x:f>
        <x:v>125833.33333333333</x:v>
      </x:c>
      <x:c r="G41" s="297" t="n">
        <x:f>IF(A41&gt;'Допущения'!$C$12,IF($A$5="Студенты",'Сравнение'!$D$9/12,'Сравнение'!$H$9/12),0)</x:f>
        <x:v>1752000</x:v>
      </x:c>
      <x:c r="H41" s="297" t="n">
        <x:f>IF(A41&gt;'Допущения'!$C$12,IF($A$5="Студенты",'Сравнение'!$D$13/12,'Сравнение'!$H$13/12),0)</x:f>
        <x:v>571428.5714285715</x:v>
      </x:c>
      <x:c r="I41" s="297" t="n">
        <x:f>IF(A41&gt;'Допущения'!$C$12,IF($A$5="Студенты",'Сравнение'!$D$17/12,'Сравнение'!$H$17/12),0)</x:f>
        <x:v>37333.333333333336</x:v>
      </x:c>
      <x:c r="J41" s="297" t="n">
        <x:f>SUM(G41:I41)</x:f>
        <x:v>2360761.904761905</x:v>
      </x:c>
      <x:c r="K41" s="297" t="n">
        <x:f>J41-F41</x:f>
        <x:v>2234928.5714285714</x:v>
      </x:c>
      <x:c r="L41" s="297" t="n">
        <x:f>L40+F41</x:f>
        <x:v>24100833.333333302</x:v>
      </x:c>
      <x:c r="M41" s="297" t="n">
        <x:f>M40+J41</x:f>
        <x:v>59019047.61904759</x:v>
      </x:c>
      <x:c r="N41" s="297" t="n">
        <x:f>N40+K41</x:f>
        <x:v>34918214.285714276</x:v>
      </x:c>
      <x:c r="O41" s="298" t="n">
        <x:f>IF(AND(N41&gt;=0,N40&lt;0),A41,0)</x:f>
        <x:v>0</x:v>
      </x:c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226" t="n">
        <x:v>32</x:v>
      </x:c>
      <x:c r="B42" s="226" t="str">
        <x:f>IF(A42=0,"Старт",IF(A42&lt;='Допущения'!$C$12,"Разработка","Эксплуатация"))</x:f>
        <x:v>Эксплуатация</x:v>
      </x:c>
      <x:c r="C42" s="297" t="n">
        <x:f>IF(AND(A42&gt;=1,A42&lt;='Допущения'!$C$12),'Сравнение'!$B$31/'Допущения'!$C$12,0)</x:f>
        <x:v>0</x:v>
      </x:c>
      <x:c r="D42" s="297" t="n">
        <x:f>IF(A42=0,'Сравнение'!$B$32+'Сравнение'!$B$35+'Сравнение'!$B$36+'Сравнение'!$B$38,0)</x:f>
        <x:v>0</x:v>
      </x:c>
      <x:c r="E42" s="297" t="n">
        <x:f>IF(A42&gt;'Допущения'!$C$12,'Сравнение'!$B$43/12,0)</x:f>
        <x:v>125833.33333333333</x:v>
      </x:c>
      <x:c r="F42" s="297" t="n">
        <x:f>SUM(C42:E42)</x:f>
        <x:v>125833.33333333333</x:v>
      </x:c>
      <x:c r="G42" s="297" t="n">
        <x:f>IF(A42&gt;'Допущения'!$C$12,IF($A$5="Студенты",'Сравнение'!$D$9/12,'Сравнение'!$H$9/12),0)</x:f>
        <x:v>1752000</x:v>
      </x:c>
      <x:c r="H42" s="297" t="n">
        <x:f>IF(A42&gt;'Допущения'!$C$12,IF($A$5="Студенты",'Сравнение'!$D$13/12,'Сравнение'!$H$13/12),0)</x:f>
        <x:v>571428.5714285715</x:v>
      </x:c>
      <x:c r="I42" s="297" t="n">
        <x:f>IF(A42&gt;'Допущения'!$C$12,IF($A$5="Студенты",'Сравнение'!$D$17/12,'Сравнение'!$H$17/12),0)</x:f>
        <x:v>37333.333333333336</x:v>
      </x:c>
      <x:c r="J42" s="297" t="n">
        <x:f>SUM(G42:I42)</x:f>
        <x:v>2360761.904761905</x:v>
      </x:c>
      <x:c r="K42" s="297" t="n">
        <x:f>J42-F42</x:f>
        <x:v>2234928.5714285714</x:v>
      </x:c>
      <x:c r="L42" s="297" t="n">
        <x:f>L41+F42</x:f>
        <x:v>24226666.666666634</x:v>
      </x:c>
      <x:c r="M42" s="297" t="n">
        <x:f>M41+J42</x:f>
        <x:v>61379809.52380949</x:v>
      </x:c>
      <x:c r="N42" s="297" t="n">
        <x:f>N41+K42</x:f>
        <x:v>37153142.85714285</x:v>
      </x:c>
      <x:c r="O42" s="298" t="n">
        <x:f>IF(AND(N42&gt;=0,N41&lt;0),A42,0)</x:f>
        <x:v>0</x:v>
      </x:c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226" t="n">
        <x:v>33</x:v>
      </x:c>
      <x:c r="B43" s="226" t="str">
        <x:f>IF(A43=0,"Старт",IF(A43&lt;='Допущения'!$C$12,"Разработка","Эксплуатация"))</x:f>
        <x:v>Эксплуатация</x:v>
      </x:c>
      <x:c r="C43" s="297" t="n">
        <x:f>IF(AND(A43&gt;=1,A43&lt;='Допущения'!$C$12),'Сравнение'!$B$31/'Допущения'!$C$12,0)</x:f>
        <x:v>0</x:v>
      </x:c>
      <x:c r="D43" s="297" t="n">
        <x:f>IF(A43=0,'Сравнение'!$B$32+'Сравнение'!$B$35+'Сравнение'!$B$36+'Сравнение'!$B$38,0)</x:f>
        <x:v>0</x:v>
      </x:c>
      <x:c r="E43" s="297" t="n">
        <x:f>IF(A43&gt;'Допущения'!$C$12,'Сравнение'!$B$43/12,0)</x:f>
        <x:v>125833.33333333333</x:v>
      </x:c>
      <x:c r="F43" s="297" t="n">
        <x:f>SUM(C43:E43)</x:f>
        <x:v>125833.33333333333</x:v>
      </x:c>
      <x:c r="G43" s="297" t="n">
        <x:f>IF(A43&gt;'Допущения'!$C$12,IF($A$5="Студенты",'Сравнение'!$D$9/12,'Сравнение'!$H$9/12),0)</x:f>
        <x:v>1752000</x:v>
      </x:c>
      <x:c r="H43" s="297" t="n">
        <x:f>IF(A43&gt;'Допущения'!$C$12,IF($A$5="Студенты",'Сравнение'!$D$13/12,'Сравнение'!$H$13/12),0)</x:f>
        <x:v>571428.5714285715</x:v>
      </x:c>
      <x:c r="I43" s="297" t="n">
        <x:f>IF(A43&gt;'Допущения'!$C$12,IF($A$5="Студенты",'Сравнение'!$D$17/12,'Сравнение'!$H$17/12),0)</x:f>
        <x:v>37333.333333333336</x:v>
      </x:c>
      <x:c r="J43" s="297" t="n">
        <x:f>SUM(G43:I43)</x:f>
        <x:v>2360761.904761905</x:v>
      </x:c>
      <x:c r="K43" s="297" t="n">
        <x:f>J43-F43</x:f>
        <x:v>2234928.5714285714</x:v>
      </x:c>
      <x:c r="L43" s="297" t="n">
        <x:f>L42+F43</x:f>
        <x:v>24352499.999999966</x:v>
      </x:c>
      <x:c r="M43" s="297" t="n">
        <x:f>M42+J43</x:f>
        <x:v>63740571.428571396</x:v>
      </x:c>
      <x:c r="N43" s="297" t="n">
        <x:f>N42+K43</x:f>
        <x:v>39388071.428571425</x:v>
      </x:c>
      <x:c r="O43" s="298" t="n">
        <x:f>IF(AND(N43&gt;=0,N42&lt;0),A43,0)</x:f>
        <x:v>0</x:v>
      </x:c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226" t="n">
        <x:v>34</x:v>
      </x:c>
      <x:c r="B44" s="226" t="str">
        <x:f>IF(A44=0,"Старт",IF(A44&lt;='Допущения'!$C$12,"Разработка","Эксплуатация"))</x:f>
        <x:v>Эксплуатация</x:v>
      </x:c>
      <x:c r="C44" s="297" t="n">
        <x:f>IF(AND(A44&gt;=1,A44&lt;='Допущения'!$C$12),'Сравнение'!$B$31/'Допущения'!$C$12,0)</x:f>
        <x:v>0</x:v>
      </x:c>
      <x:c r="D44" s="297" t="n">
        <x:f>IF(A44=0,'Сравнение'!$B$32+'Сравнение'!$B$35+'Сравнение'!$B$36+'Сравнение'!$B$38,0)</x:f>
        <x:v>0</x:v>
      </x:c>
      <x:c r="E44" s="297" t="n">
        <x:f>IF(A44&gt;'Допущения'!$C$12,'Сравнение'!$B$43/12,0)</x:f>
        <x:v>125833.33333333333</x:v>
      </x:c>
      <x:c r="F44" s="297" t="n">
        <x:f>SUM(C44:E44)</x:f>
        <x:v>125833.33333333333</x:v>
      </x:c>
      <x:c r="G44" s="297" t="n">
        <x:f>IF(A44&gt;'Допущения'!$C$12,IF($A$5="Студенты",'Сравнение'!$D$9/12,'Сравнение'!$H$9/12),0)</x:f>
        <x:v>1752000</x:v>
      </x:c>
      <x:c r="H44" s="297" t="n">
        <x:f>IF(A44&gt;'Допущения'!$C$12,IF($A$5="Студенты",'Сравнение'!$D$13/12,'Сравнение'!$H$13/12),0)</x:f>
        <x:v>571428.5714285715</x:v>
      </x:c>
      <x:c r="I44" s="297" t="n">
        <x:f>IF(A44&gt;'Допущения'!$C$12,IF($A$5="Студенты",'Сравнение'!$D$17/12,'Сравнение'!$H$17/12),0)</x:f>
        <x:v>37333.333333333336</x:v>
      </x:c>
      <x:c r="J44" s="297" t="n">
        <x:f>SUM(G44:I44)</x:f>
        <x:v>2360761.904761905</x:v>
      </x:c>
      <x:c r="K44" s="297" t="n">
        <x:f>J44-F44</x:f>
        <x:v>2234928.5714285714</x:v>
      </x:c>
      <x:c r="L44" s="297" t="n">
        <x:f>L43+F44</x:f>
        <x:v>24478333.3333333</x:v>
      </x:c>
      <x:c r="M44" s="297" t="n">
        <x:f>M43+J44</x:f>
        <x:v>66101333.3333333</x:v>
      </x:c>
      <x:c r="N44" s="297" t="n">
        <x:f>N43+K44</x:f>
        <x:v>41623000</x:v>
      </x:c>
      <x:c r="O44" s="298" t="n">
        <x:f>IF(AND(N44&gt;=0,N43&lt;0),A44,0)</x:f>
        <x:v>0</x:v>
      </x:c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226" t="n">
        <x:v>35</x:v>
      </x:c>
      <x:c r="B45" s="226" t="str">
        <x:f>IF(A45=0,"Старт",IF(A45&lt;='Допущения'!$C$12,"Разработка","Эксплуатация"))</x:f>
        <x:v>Эксплуатация</x:v>
      </x:c>
      <x:c r="C45" s="297" t="n">
        <x:f>IF(AND(A45&gt;=1,A45&lt;='Допущения'!$C$12),'Сравнение'!$B$31/'Допущения'!$C$12,0)</x:f>
        <x:v>0</x:v>
      </x:c>
      <x:c r="D45" s="297" t="n">
        <x:f>IF(A45=0,'Сравнение'!$B$32+'Сравнение'!$B$35+'Сравнение'!$B$36+'Сравнение'!$B$38,0)</x:f>
        <x:v>0</x:v>
      </x:c>
      <x:c r="E45" s="297" t="n">
        <x:f>IF(A45&gt;'Допущения'!$C$12,'Сравнение'!$B$43/12,0)</x:f>
        <x:v>125833.33333333333</x:v>
      </x:c>
      <x:c r="F45" s="297" t="n">
        <x:f>SUM(C45:E45)</x:f>
        <x:v>125833.33333333333</x:v>
      </x:c>
      <x:c r="G45" s="297" t="n">
        <x:f>IF(A45&gt;'Допущения'!$C$12,IF($A$5="Студенты",'Сравнение'!$D$9/12,'Сравнение'!$H$9/12),0)</x:f>
        <x:v>1752000</x:v>
      </x:c>
      <x:c r="H45" s="297" t="n">
        <x:f>IF(A45&gt;'Допущения'!$C$12,IF($A$5="Студенты",'Сравнение'!$D$13/12,'Сравнение'!$H$13/12),0)</x:f>
        <x:v>571428.5714285715</x:v>
      </x:c>
      <x:c r="I45" s="297" t="n">
        <x:f>IF(A45&gt;'Допущения'!$C$12,IF($A$5="Студенты",'Сравнение'!$D$17/12,'Сравнение'!$H$17/12),0)</x:f>
        <x:v>37333.333333333336</x:v>
      </x:c>
      <x:c r="J45" s="297" t="n">
        <x:f>SUM(G45:I45)</x:f>
        <x:v>2360761.904761905</x:v>
      </x:c>
      <x:c r="K45" s="297" t="n">
        <x:f>J45-F45</x:f>
        <x:v>2234928.5714285714</x:v>
      </x:c>
      <x:c r="L45" s="297" t="n">
        <x:f>L44+F45</x:f>
        <x:v>24604166.66666663</x:v>
      </x:c>
      <x:c r="M45" s="297" t="n">
        <x:f>M44+J45</x:f>
        <x:v>68462095.23809521</x:v>
      </x:c>
      <x:c r="N45" s="297" t="n">
        <x:f>N44+K45</x:f>
        <x:v>43857928.571428575</x:v>
      </x:c>
      <x:c r="O45" s="298" t="n">
        <x:f>IF(AND(N45&gt;=0,N44&lt;0),A45,0)</x:f>
        <x:v>0</x:v>
      </x:c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226" t="n">
        <x:v>36</x:v>
      </x:c>
      <x:c r="B46" s="226" t="str">
        <x:f>IF(A46=0,"Старт",IF(A46&lt;='Допущения'!$C$12,"Разработка","Эксплуатация"))</x:f>
        <x:v>Эксплуатация</x:v>
      </x:c>
      <x:c r="C46" s="297" t="n">
        <x:f>IF(AND(A46&gt;=1,A46&lt;='Допущения'!$C$12),'Сравнение'!$B$31/'Допущения'!$C$12,0)</x:f>
        <x:v>0</x:v>
      </x:c>
      <x:c r="D46" s="297" t="n">
        <x:f>IF(A46=0,'Сравнение'!$B$32+'Сравнение'!$B$35+'Сравнение'!$B$36+'Сравнение'!$B$38,0)</x:f>
        <x:v>0</x:v>
      </x:c>
      <x:c r="E46" s="297" t="n">
        <x:f>IF(A46&gt;'Допущения'!$C$12,'Сравнение'!$B$43/12,0)</x:f>
        <x:v>125833.33333333333</x:v>
      </x:c>
      <x:c r="F46" s="297" t="n">
        <x:f>SUM(C46:E46)</x:f>
        <x:v>125833.33333333333</x:v>
      </x:c>
      <x:c r="G46" s="297" t="n">
        <x:f>IF(A46&gt;'Допущения'!$C$12,IF($A$5="Студенты",'Сравнение'!$D$9/12,'Сравнение'!$H$9/12),0)</x:f>
        <x:v>1752000</x:v>
      </x:c>
      <x:c r="H46" s="297" t="n">
        <x:f>IF(A46&gt;'Допущения'!$C$12,IF($A$5="Студенты",'Сравнение'!$D$13/12,'Сравнение'!$H$13/12),0)</x:f>
        <x:v>571428.5714285715</x:v>
      </x:c>
      <x:c r="I46" s="297" t="n">
        <x:f>IF(A46&gt;'Допущения'!$C$12,IF($A$5="Студенты",'Сравнение'!$D$17/12,'Сравнение'!$H$17/12),0)</x:f>
        <x:v>37333.333333333336</x:v>
      </x:c>
      <x:c r="J46" s="297" t="n">
        <x:f>SUM(G46:I46)</x:f>
        <x:v>2360761.904761905</x:v>
      </x:c>
      <x:c r="K46" s="297" t="n">
        <x:f>J46-F46</x:f>
        <x:v>2234928.5714285714</x:v>
      </x:c>
      <x:c r="L46" s="297" t="n">
        <x:f>L45+F46</x:f>
        <x:v>24729999.999999963</x:v>
      </x:c>
      <x:c r="M46" s="297" t="n">
        <x:f>M45+J46</x:f>
        <x:v>70822857.14285712</x:v>
      </x:c>
      <x:c r="N46" s="297" t="n">
        <x:f>N45+K46</x:f>
        <x:v>46092857.14285715</x:v>
      </x:c>
      <x:c r="O46" s="298" t="n">
        <x:f>IF(AND(N46&gt;=0,N45&lt;0),A46,0)</x:f>
        <x:v>0</x:v>
      </x:c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O2"/>
    <x:mergeCell ref="A3:O3"/>
    <x:mergeCell ref="A4:C4"/>
    <x:mergeCell ref="D4:F4"/>
    <x:mergeCell ref="G4:I4"/>
    <x:mergeCell ref="J4:L4"/>
    <x:mergeCell ref="A5:C5"/>
    <x:mergeCell ref="D5:F5"/>
    <x:mergeCell ref="G5:I5"/>
    <x:mergeCell ref="J5:L5"/>
    <x:mergeCell ref="A6:O6"/>
  </x:mergeCells>
  <x:conditionalFormatting sqref="A10:O46">
    <x:cfRule type="expression" dxfId="0" priority="1">
      <x:formula>$O10&gt;0</x:formula>
    </x:cfRule>
  </x:conditionalFormatting>
  <x:conditionalFormatting sqref="N10:N46">
    <x:cfRule type="cellIs" dxfId="1" priority="2" operator="lessThan">
      <x:formula>0</x:formula>
    </x:cfRule>
    <x:cfRule type="cellIs" dxfId="2" priority="3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53" t="str">
        <x:v>Чувствительность срока окупаемости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Как меняется окупаемость при другой доле сокращения ручного труда и частоте критических инцидентов.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309" t="str">
        <x:v>Активный сценарий</x:v>
      </x:c>
      <x:c r="B5" s="310" t="str">
        <x:f>'Допущения'!$C$4</x:f>
        <x:v>Студенты</x:v>
      </x:c>
      <x:c r="C5" s="311"/>
      <x:c r="D5" s="309" t="str">
        <x:v>Инвестиции</x:v>
      </x:c>
      <x:c r="E5" s="312" t="n">
        <x:f>'Сравнение'!$B$39</x:f>
        <x:v>20955000</x:v>
      </x:c>
      <x:c r="F5" s="313"/>
      <x:c r="G5" s="314" t="str">
        <x:v>OPEX / год</x:v>
      </x:c>
      <x:c r="H5" s="312" t="n">
        <x:f>'Сравнение'!$B$43</x:f>
        <x:v>1510000</x:v>
      </x:c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Окупаемость от начала проекта, месяцев</x:v>
      </x:c>
      <x:c r="B7" s="59"/>
      <x:c r="C7" s="59"/>
      <x:c r="D7" s="59"/>
      <x:c r="E7" s="59"/>
      <x:c r="F7" s="59"/>
      <x:c r="G7" s="59"/>
      <x:c r="H7" s="59"/>
      <x:c r="I7" s="59"/>
      <x:c r="J7" s="59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60" t="str">
        <x:v>Сокращение ручного труда</x:v>
      </x:c>
      <x:c r="B8" s="315" t="n">
        <x:v>0</x:v>
      </x:c>
      <x:c r="C8" s="315" t="n">
        <x:v>1</x:v>
      </x:c>
      <x:c r="D8" s="315" t="n">
        <x:v>2</x:v>
      </x:c>
      <x:c r="E8" s="315" t="n">
        <x:v>3</x:v>
      </x:c>
      <x:c r="F8" s="315" t="n">
        <x:v>4</x:v>
      </x:c>
      <x:c r="G8" s="315" t="n">
        <x:v>5</x:v>
      </x:c>
      <x:c r="H8" s="315" t="n">
        <x:v>6</x:v>
      </x:c>
      <x:c r="I8" s="315" t="n">
        <x:v>7</x:v>
      </x:c>
      <x:c r="J8" s="315" t="n">
        <x:v>8</x:v>
      </x:c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316" t="n">
        <x:v>0.3</x:v>
      </x:c>
      <x:c r="B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/12))</x:f>
        <x:v>32.609523809523814</x:v>
      </x:c>
      <x:c r="C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27.426902008521</x:v>
      </x:c>
      <x:c r="D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23.93397860417728</x:v>
      </x:c>
      <x:c r="E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21.420236530880416</x:v>
      </x:c>
      <x:c r="F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19.5245485977718</x:v>
      </x:c>
      <x:c r="G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18.043927471775575</x:v>
      </x:c>
      <x:c r="H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16.85550416281221</x:v>
      </x:c>
      <x:c r="I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15.880550098231826</x:v>
      </x:c>
      <x:c r="J9" s="317" t="n">
        <x:f>IF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9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15.06628895184136</x:v>
      </x:c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316" t="n">
        <x:v>0.4</x:v>
      </x:c>
      <x:c r="B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25.411764705882348</x:v>
      </x:c>
      <x:c r="C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22.500309342132397</x:v>
      </x:c>
      <x:c r="D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20.348293907628097</x:v>
      </x:c>
      <x:c r="E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18.692856833816464</x:v>
      </x:c>
      <x:c r="F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17.379898886719506</x:v>
      </x:c>
      <x:c r="G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16.313104207923693</x:v>
      </x:c>
      <x:c r="H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15.42917751422235</x:v>
      </x:c>
      <x:c r="I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14.684810388892727</x:v>
      </x:c>
      <x:c r="J10" s="317" t="n">
        <x:f>IF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10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14.049369392440024</x:v>
      </x:c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316" t="n">
        <x:v>0.5</x:v>
      </x:c>
      <x:c r="B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/12))</x:f>
        <x:v>21.278891724389354</x:v>
      </x:c>
      <x:c r="C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19.415697452860385</x:v>
      </x:c>
      <x:c r="D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17.957528905071804</x:v>
      </x:c>
      <x:c r="E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16.78526524760119</x:v>
      </x:c>
      <x:c r="F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15.822327377431561</x:v>
      </x:c>
      <x:c r="G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15.01724332243886</x:v>
      </x:c>
      <x:c r="H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14.33413823470924</x:v>
      </x:c>
      <x:c r="I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13.747242590424548</x:v>
      </x:c>
      <x:c r="J11" s="317" t="n">
        <x:f>IF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11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13.23756815210151</x:v>
      </x:c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316" t="n">
        <x:v>0.6</x:v>
      </x:c>
      <x:c r="B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18.59693417493237</x:v>
      </x:c>
      <x:c r="C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17.302734149254498</x:v>
      </x:c>
      <x:c r="D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16.249688471706243</x:v>
      </x:c>
      <x:c r="E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15.376138579053341</x:v>
      </x:c>
      <x:c r="F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14.639795026848734</x:v>
      </x:c>
      <x:c r="G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14.010685647191606</x:v>
      </x:c>
      <x:c r="H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13.46697548932271</x:v>
      </x:c>
      <x:c r="I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12.992380846449029</x:v>
      </x:c>
      <x:c r="J12" s="317" t="n">
        <x:f>IF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12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12.574510521637148</x:v>
      </x:c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316" t="n">
        <x:v>0.7</x:v>
      </x:c>
      <x:c r="B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B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16.71592942981335</x:v>
      </x:c>
      <x:c r="C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C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15.76478681030944</x:v>
      </x:c>
      <x:c r="D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D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14.968725479206368</x:v>
      </x:c>
      <x:c r="E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E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14.292676032450462</x:v>
      </x:c>
      <x:c r="F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F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13.71140181020056</x:v>
      </x:c>
      <x:c r="G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G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13.206278504229067</x:v>
      </x:c>
      <x:c r="H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H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12.76326163635106</x:v>
      </x:c>
      <x:c r="I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I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12.371560330410986</x:v>
      </x:c>
      <x:c r="J13" s="317" t="n">
        <x:f>IF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&lt;=0,0,'Допущения'!$C$12+'Сравнение'!$B$39/(((IF($B$5="Студенты",'Допущения'!$C$30,'Допущения'!$C$45)*$A13*'Допущения'!$C$8*'Допущения'!$C$9)+(IF($B$5="Студенты",('Допущения'!$C$32-'Допущения'!$C$33)*('Допущения'!$C$34/'Допущения'!$C$35),('Допущения'!$C$47-'Допущения'!$C$48)*('Допущения'!$C$49/1440))*J$8)+(IF($B$5="Студенты",('Допущения'!$C$38-'Допущения'!$C$39)*'Допущения'!$C$37,('Допущения'!$C$52-'Допущения'!$C$53)*'Допущения'!$C$51)*'Допущения'!$C$10)-'Сравнение'!$B$43)/12))</x:f>
        <x:v>12.022746713565226</x:v>
      </x:c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9" t="str">
        <x:v>Интерпретация</x:v>
      </x:c>
      <x:c r="B16" s="59"/>
      <x:c r="C16" s="59"/>
      <x:c r="D16" s="59"/>
      <x:c r="E16" s="59"/>
      <x:c r="F16" s="59"/>
      <x:c r="G16" s="59"/>
      <x:c r="H16" s="59"/>
      <x:c r="I16" s="59"/>
      <x:c r="J16" s="59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318" t="str">
        <x:v>Матрица показывает ориентировочный срок окупаемости от старта проекта. Красные значения — длинный срок, зеленые — короткий. Точный срок по выбранному базовому сценарию рассчитывается помесячно на листе «Денежный поток». Если фактические критические инциденты редки, основным драйвером остается сокращение ежедневных трудозатрат.</x:v>
      </x:c>
      <x:c r="B17" s="318"/>
      <x:c r="C17" s="318"/>
      <x:c r="D17" s="318"/>
      <x:c r="E17" s="318"/>
      <x:c r="F17" s="318"/>
      <x:c r="G17" s="318"/>
      <x:c r="H17" s="318"/>
      <x:c r="I17" s="318"/>
      <x:c r="J17" s="318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318"/>
      <x:c r="B18" s="318"/>
      <x:c r="C18" s="318"/>
      <x:c r="D18" s="318"/>
      <x:c r="E18" s="318"/>
      <x:c r="F18" s="318"/>
      <x:c r="G18" s="318"/>
      <x:c r="H18" s="318"/>
      <x:c r="I18" s="318"/>
      <x:c r="J18" s="318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318"/>
      <x:c r="B19" s="318"/>
      <x:c r="C19" s="318"/>
      <x:c r="D19" s="318"/>
      <x:c r="E19" s="318"/>
      <x:c r="F19" s="318"/>
      <x:c r="G19" s="318"/>
      <x:c r="H19" s="318"/>
      <x:c r="I19" s="318"/>
      <x:c r="J19" s="318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318"/>
      <x:c r="B20" s="318"/>
      <x:c r="C20" s="318"/>
      <x:c r="D20" s="318"/>
      <x:c r="E20" s="318"/>
      <x:c r="F20" s="318"/>
      <x:c r="G20" s="318"/>
      <x:c r="H20" s="318"/>
      <x:c r="I20" s="318"/>
      <x:c r="J20" s="318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J2"/>
    <x:mergeCell ref="A3:J3"/>
    <x:mergeCell ref="A7:J7"/>
    <x:mergeCell ref="A16:J16"/>
    <x:mergeCell ref="A17:J20"/>
  </x:mergeCells>
  <x:conditionalFormatting sqref="B9:J1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</x:cols>
  <x:sheetData>
    <x:row r="1">
      <x:c r="A1" s="53" t="str">
        <x:v>Контроль качества модели</x:v>
      </x:c>
      <x:c r="B1" s="53"/>
      <x:c r="C1" s="53"/>
      <x:c r="D1" s="53"/>
      <x:c r="E1" s="53"/>
      <x:c r="F1" s="53"/>
      <x:c r="G1" s="53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3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Автоматические проверки исходных ставок, проектного бюджета и денежных потоков.</x:v>
      </x:c>
      <x:c r="B3" s="54"/>
      <x:c r="C3" s="54"/>
      <x:c r="D3" s="54"/>
      <x:c r="E3" s="54"/>
      <x:c r="F3" s="54"/>
      <x:c r="G3" s="54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321" t="str">
        <x:v>Статус модели</x:v>
      </x:c>
      <x:c r="B5" s="321" t="str">
        <x:f>IF(COUNTIF(F8:F20,"ОШИБКА")=0,"PASS","FAIL")</x:f>
        <x:v>PASS</x:v>
      </x:c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60" t="str">
        <x:v>Проверка</x:v>
      </x:c>
      <x:c r="B7" s="60" t="str">
        <x:v>Факт</x:v>
      </x:c>
      <x:c r="C7" s="60" t="str">
        <x:v>Ожидание</x:v>
      </x:c>
      <x:c r="D7" s="60" t="str">
        <x:v>Отклонение</x:v>
      </x:c>
      <x:c r="E7" s="60" t="str">
        <x:v>Допуск</x:v>
      </x:c>
      <x:c r="F7" s="60" t="str">
        <x:v>Статус</x:v>
      </x:c>
      <x:c r="G7" s="60" t="str">
        <x:v>Что делать при ошибке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26" t="str">
        <x:v>Ставка поддержки / оператора</x:v>
      </x:c>
      <x:c r="B8" s="322" t="n">
        <x:f>'Допущения'!$C$9</x:f>
        <x:v>2000</x:v>
      </x:c>
      <x:c r="C8" s="322" t="n">
        <x:v>2000</x:v>
      </x:c>
      <x:c r="D8" s="322" t="n">
        <x:f>B8-C8</x:f>
        <x:v>0</x:v>
      </x:c>
      <x:c r="E8" s="322" t="n">
        <x:v>0.01</x:v>
      </x:c>
      <x:c r="F8" s="226" t="str">
        <x:f>IF(ABS(D8)&lt;=E8,"OK","ОШИБКА")</x:f>
        <x:v>OK</x:v>
      </x:c>
      <x:c r="G8" s="226" t="str">
        <x:v>Вернуть ставку 2 000 ₽/ч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26" t="str">
        <x:v>Ставка проектной команды</x:v>
      </x:c>
      <x:c r="B9" s="322" t="n">
        <x:f>'Допущения'!$C$10</x:f>
        <x:v>3500</x:v>
      </x:c>
      <x:c r="C9" s="322" t="n">
        <x:v>3500</x:v>
      </x:c>
      <x:c r="D9" s="322" t="n">
        <x:f>B9-C9</x:f>
        <x:v>0</x:v>
      </x:c>
      <x:c r="E9" s="322" t="n">
        <x:v>0.01</x:v>
      </x:c>
      <x:c r="F9" s="226" t="str">
        <x:f>IF(ABS(D9)&lt;=E9,"OK","ОШИБКА")</x:f>
        <x:v>OK</x:v>
      </x:c>
      <x:c r="G9" s="226" t="str">
        <x:v>Вернуть ставку 3 500 ₽/ч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26" t="str">
        <x:v>GPU после оптимизации</x:v>
      </x:c>
      <x:c r="B10" s="322" t="n">
        <x:f>'Допущения'!$C$17</x:f>
        <x:v>200000</x:v>
      </x:c>
      <x:c r="C10" s="322" t="n">
        <x:f>MAX(0,'Допущения'!$C$15-'Допущения'!$C$16)</x:f>
        <x:v>200000</x:v>
      </x:c>
      <x:c r="D10" s="322" t="n">
        <x:f>B10-C10</x:f>
        <x:v>0</x:v>
      </x:c>
      <x:c r="E10" s="322" t="n">
        <x:v>0.01</x:v>
      </x:c>
      <x:c r="F10" s="226" t="str">
        <x:f>IF(ABS(D10)&lt;=E10,"OK","ОШИБКА")</x:f>
        <x:v>OK</x:v>
      </x:c>
      <x:c r="G10" s="226" t="str">
        <x:v>Проверить исходную и оптимизированную GPU-смету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26" t="str">
        <x:v>Первоначальные инвестиции = состав бюджета</x:v>
      </x:c>
      <x:c r="B11" s="322" t="n">
        <x:f>'Сравнение'!$B$39</x:f>
        <x:v>20955000</x:v>
      </x:c>
      <x:c r="C11" s="322" t="n">
        <x:f>SUM('Сравнение'!$B$31:'Сравнение'!$B$32)+'Сравнение'!$B$35+'Сравнение'!$B$36+'Сравнение'!$B$38</x:f>
        <x:v>20955000</x:v>
      </x:c>
      <x:c r="D11" s="322" t="n">
        <x:f>B11-C11</x:f>
        <x:v>0</x:v>
      </x:c>
      <x:c r="E11" s="322" t="n">
        <x:v>0.01</x:v>
      </x:c>
      <x:c r="F11" s="226" t="str">
        <x:f>IF(ABS(D11)&lt;=E11,"OK","ОШИБКА")</x:f>
        <x:v>OK</x:v>
      </x:c>
      <x:c r="G11" s="226" t="str">
        <x:v>Проверить состав первоначальных инвестиций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26" t="str">
        <x:v>Эксплуатационные расходы = состав OPEX</x:v>
      </x:c>
      <x:c r="B12" s="322" t="n">
        <x:f>'Сравнение'!$B$43</x:f>
        <x:v>1510000</x:v>
      </x:c>
      <x:c r="C12" s="322" t="n">
        <x:f>SUM('Сравнение'!$B$40:'Сравнение'!$B$42)</x:f>
        <x:v>1510000</x:v>
      </x:c>
      <x:c r="D12" s="322" t="n">
        <x:f>B12-C12</x:f>
        <x:v>0</x:v>
      </x:c>
      <x:c r="E12" s="322" t="n">
        <x:v>0.01</x:v>
      </x:c>
      <x:c r="F12" s="226" t="str">
        <x:f>IF(ABS(D12)&lt;=E12,"OK","ОШИБКА")</x:f>
        <x:v>OK</x:v>
      </x:c>
      <x:c r="G12" s="226" t="str">
        <x:v>Проверить ежегодные статьи OPEX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26" t="str">
        <x:v>Студенты: экономия = сумма эффектов</x:v>
      </x:c>
      <x:c r="B13" s="322" t="n">
        <x:f>'Сравнение'!$D$18</x:f>
        <x:v>28329142.857142854</x:v>
      </x:c>
      <x:c r="C13" s="322" t="n">
        <x:f>'Сравнение'!$D$9+'Сравнение'!$D$13+'Сравнение'!$D$17</x:f>
        <x:v>28329142.85714286</x:v>
      </x:c>
      <x:c r="D13" s="322" t="n">
        <x:f>B13-C13</x:f>
        <x:v>-3.725290298461914e-9</x:v>
      </x:c>
      <x:c r="E13" s="322" t="n">
        <x:v>0.01</x:v>
      </x:c>
      <x:c r="F13" s="226" t="str">
        <x:f>IF(ABS(D13)&lt;=E13,"OK","ОШИБКА")</x:f>
        <x:v>OK</x:v>
      </x:c>
      <x:c r="G13" s="226" t="str">
        <x:v>Проверить формулы трех эффектов студенческого кейса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26" t="str">
        <x:v>НПЗ: экономия = сумма эффектов</x:v>
      </x:c>
      <x:c r="B14" s="322" t="n">
        <x:f>'Сравнение'!$H$18</x:f>
        <x:v>15234000</x:v>
      </x:c>
      <x:c r="C14" s="322" t="n">
        <x:f>'Сравнение'!$H$9+'Сравнение'!$H$13+'Сравнение'!$H$17</x:f>
        <x:v>15234000</x:v>
      </x:c>
      <x:c r="D14" s="322" t="n">
        <x:f>B14-C14</x:f>
        <x:v>0</x:v>
      </x:c>
      <x:c r="E14" s="322" t="n">
        <x:v>0.01</x:v>
      </x:c>
      <x:c r="F14" s="226" t="str">
        <x:f>IF(ABS(D14)&lt;=E14,"OK","ОШИБКА")</x:f>
        <x:v>OK</x:v>
      </x:c>
      <x:c r="G14" s="226" t="str">
        <x:v>Проверить формулы трех эффектов сценария НПЗ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26" t="str">
        <x:v>Накопленный поток = выгоды - затраты</x:v>
      </x:c>
      <x:c r="B15" s="322" t="n">
        <x:f>'Денежный поток'!$N$46</x:f>
        <x:v>46092857.14285715</x:v>
      </x:c>
      <x:c r="C15" s="322" t="n">
        <x:f>'Денежный поток'!$M$46-'Денежный поток'!$L$46</x:f>
        <x:v>46092857.14285716</x:v>
      </x:c>
      <x:c r="D15" s="322" t="n">
        <x:f>B15-C15</x:f>
        <x:v>-7.450580596923828e-9</x:v>
      </x:c>
      <x:c r="E15" s="322" t="n">
        <x:v>0.01</x:v>
      </x:c>
      <x:c r="F15" s="226" t="str">
        <x:f>IF(ABS(D15)&lt;=E15,"OK","ОШИБКА")</x:f>
        <x:v>OK</x:v>
      </x:c>
      <x:c r="G15" s="226" t="str">
        <x:v>Проверить последний месяц денежного потока</x:v>
      </x:c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26" t="str">
        <x:v>Точка безубыточности в горизонте модели</x:v>
      </x:c>
      <x:c r="B16" s="322" t="n">
        <x:f>'Денежный поток'!$J$5</x:f>
        <x:v>16</x:v>
      </x:c>
      <x:c r="C16" s="322" t="n">
        <x:f>'Допущения'!$C$25</x:f>
        <x:v>36</x:v>
      </x:c>
      <x:c r="D16" s="322" t="n">
        <x:f>IF(AND(B16&gt;=1,B16&lt;=C16),0,B16-C16)</x:f>
        <x:v>0</x:v>
      </x:c>
      <x:c r="E16" s="322" t="n">
        <x:v>0.5</x:v>
      </x:c>
      <x:c r="F16" s="226" t="str">
        <x:f>IF(ABS(D16)&lt;=E16,"OK","ОШИБКА")</x:f>
        <x:v>OK</x:v>
      </x:c>
      <x:c r="G16" s="226" t="str">
        <x:v>Увеличить горизонт модели или уточнить эффект</x:v>
      </x:c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226" t="str">
        <x:v>Инфраструктура в заданном диапазоне</x:v>
      </x:c>
      <x:c r="B17" s="322" t="n">
        <x:f>'Допущения'!$C$14</x:f>
        <x:v>1750000</x:v>
      </x:c>
      <x:c r="C17" s="322" t="n">
        <x:f>MIN(MAX(B17,'Допущения'!$G$14),'Допущения'!$H$14)</x:f>
        <x:v>1750000</x:v>
      </x:c>
      <x:c r="D17" s="322" t="n">
        <x:f>B17-C17</x:f>
        <x:v>0</x:v>
      </x:c>
      <x:c r="E17" s="322" t="n">
        <x:v>0.01</x:v>
      </x:c>
      <x:c r="F17" s="226" t="str">
        <x:f>IF(ABS(D17)&lt;=E17,"OK","ОШИБКА")</x:f>
        <x:v>OK</x:v>
      </x:c>
      <x:c r="G17" s="226" t="str">
        <x:v>Вернуть инфраструктуру в диапазон 1,5–2,0 млн ₽</x:v>
      </x:c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 t="str">
        <x:v>Ставка дисконтирования</x:v>
      </x:c>
      <x:c r="B18" s="595" t="n">
        <x:f>'Допущения'!$C$24</x:f>
        <x:v>0.155</x:v>
      </x:c>
      <x:c r="C18" s="595" t="n">
        <x:f>'Инвест. расчет'!$B$4+'Инвест. расчет'!$B$5</x:f>
        <x:v>0.15500000000000003</x:v>
      </x:c>
      <x:c r="D18" s="595" t="n">
        <x:f>B18-C18</x:f>
        <x:v>-2.7755575615628914e-17</x:v>
      </x:c>
      <x:c r="E18" s="595" t="n">
        <x:v>1e-9</x:v>
      </x:c>
      <x:c r="F18" s="57" t="str">
        <x:f>IF(ABS(D18)&lt;=E18,"OK","ОШИБКА")</x:f>
        <x:v>OK</x:v>
      </x:c>
      <x:c r="G18" s="57" t="str">
        <x:v>Проверить базовую ставку ЦБ и премию 1,5 п.п.</x:v>
      </x:c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 t="str">
        <x:v>NPV = CDD — Студенты</x:v>
      </x:c>
      <x:c r="B19" s="596" t="n">
        <x:f>'Инвест. расчет'!$B$98</x:f>
        <x:v>31804820.164622106</x:v>
      </x:c>
      <x:c r="C19" s="596" t="n">
        <x:f>'Инвест. расчет'!$B$106</x:f>
        <x:v>31804820.164622106</x:v>
      </x:c>
      <x:c r="D19" s="596" t="n">
        <x:f>B19-C19</x:f>
        <x:v>0</x:v>
      </x:c>
      <x:c r="E19" s="596" t="n">
        <x:v>0.01</x:v>
      </x:c>
      <x:c r="F19" s="57" t="str">
        <x:f>IF(ABS(D19)&lt;=E19,"OK","ОШИБКА")</x:f>
        <x:v>OK</x:v>
      </x:c>
      <x:c r="G19" s="57" t="str">
        <x:v>Проверить накопление дисконтированного потока Студенты</x:v>
      </x:c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 t="str">
        <x:v>NPV = CDD — НПЗ / МС</x:v>
      </x:c>
      <x:c r="B20" s="596" t="n">
        <x:f>'Инвест. расчет'!$C$98</x:f>
        <x:v>6379436.80398933</x:v>
      </x:c>
      <x:c r="C20" s="596" t="n">
        <x:f>'Инвест. расчет'!$C$106</x:f>
        <x:v>6379436.80398933</x:v>
      </x:c>
      <x:c r="D20" s="596" t="n">
        <x:f>B20-C20</x:f>
        <x:v>0</x:v>
      </x:c>
      <x:c r="E20" s="596" t="n">
        <x:v>0.01</x:v>
      </x:c>
      <x:c r="F20" s="57" t="str">
        <x:f>IF(ABS(D20)&lt;=E20,"OK","ОШИБКА")</x:f>
        <x:v>OK</x:v>
      </x:c>
      <x:c r="G20" s="57" t="str">
        <x:v>Проверить накопление дисконтированного потока НПЗ / МС</x:v>
      </x:c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G2"/>
    <x:mergeCell ref="A3:G3"/>
  </x:mergeCells>
  <x:conditionalFormatting sqref="B5:B5">
    <x:cfRule type="expression" dxfId="3" priority="1">
      <x:formula>$B$5="PASS"</x:formula>
    </x:cfRule>
    <x:cfRule type="expression" dxfId="4" priority="2">
      <x:formula>$B$5="FAIL"</x:formula>
    </x:cfRule>
  </x:conditionalFormatting>
  <x:conditionalFormatting sqref="F8:F17">
    <x:cfRule type="expression" dxfId="5" priority="3">
      <x:formula>$F8="OK"</x:formula>
    </x:cfRule>
    <x:cfRule type="expression" dxfId="6" priority="4">
      <x:formula>$F8="ОШИБКА"</x:formula>
    </x:cfRule>
  </x:conditionalFormatting>
  <x:conditionalFormatting sqref="F18:F20">
    <x:cfRule type="expression" dxfId="9" priority="5">
      <x:formula>F18="OK"</x:formula>
    </x:cfRule>
    <x:cfRule type="expression" dxfId="10" priority="6">
      <x:formula>F18="ОШИБКА"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0" hidden="0" customWidth="1"/>
    <x:col min="4" max="4" width="29" hidden="0" customWidth="1"/>
    <x:col min="5" max="5" width="18" hidden="0" customWidth="1"/>
    <x:col min="6" max="6" width="48" hidden="0" customWidth="1"/>
  </x:cols>
  <x:sheetData>
    <x:row r="1">
      <x:c r="A1" s="53" t="str">
        <x:v>Источники данных и границы применимости</x:v>
      </x:c>
      <x:c r="B1" s="53"/>
      <x:c r="C1" s="53"/>
      <x:c r="D1" s="53"/>
      <x:c r="E1" s="53"/>
      <x:c r="F1" s="53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Реестр входных данных, проверяемых проектных фактов и учебных допущений.</x:v>
      </x:c>
      <x:c r="B3" s="54"/>
      <x:c r="C3" s="54"/>
      <x:c r="D3" s="54"/>
      <x:c r="E3" s="54"/>
      <x:c r="F3" s="54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60" t="str">
        <x:v>№</x:v>
      </x:c>
      <x:c r="B5" s="60" t="str">
        <x:v>Источник / основание</x:v>
      </x:c>
      <x:c r="C5" s="60" t="str">
        <x:v>Параметры</x:v>
      </x:c>
      <x:c r="D5" s="60" t="str">
        <x:v>Значение для модели</x:v>
      </x:c>
      <x:c r="E5" s="60" t="str">
        <x:v>Статус</x:v>
      </x:c>
      <x:c r="F5" s="60" t="str">
        <x:v>Ограничение</x:v>
      </x:c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325" t="n">
        <x:v>1</x:v>
      </x:c>
      <x:c r="B6" s="325" t="str">
        <x:v>Условие задачи</x:v>
      </x:c>
      <x:c r="C6" s="325" t="str">
        <x:v>Ставка поддержки / оператора</x:v>
      </x:c>
      <x:c r="D6" s="325" t="str">
        <x:v>2 000 ₽/ч</x:v>
      </x:c>
      <x:c r="E6" s="325" t="str">
        <x:v>Обязательно</x:v>
      </x:c>
      <x:c r="F6" s="325" t="str">
        <x:v>Применяется к сокращению трудозатрат</x:v>
      </x:c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325" t="n">
        <x:v>2</x:v>
      </x:c>
      <x:c r="B7" s="325" t="str">
        <x:v>Условие задачи</x:v>
      </x:c>
      <x:c r="C7" s="325" t="str">
        <x:v>Ставка проектной команды</x:v>
      </x:c>
      <x:c r="D7" s="325" t="str">
        <x:v>3 500 ₽/ч</x:v>
      </x:c>
      <x:c r="E7" s="325" t="str">
        <x:v>Обязательно</x:v>
      </x:c>
      <x:c r="F7" s="325" t="str">
        <x:v>Применяется к бюджету и подключению источников</x:v>
      </x:c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325" t="n">
        <x:v>3</x:v>
      </x:c>
      <x:c r="B8" s="325" t="str">
        <x:v>Условие задачи</x:v>
      </x:c>
      <x:c r="C8" s="325" t="str">
        <x:v>Простой установки НПЗ</x:v>
      </x:c>
      <x:c r="D8" s="325" t="str">
        <x:v>150 млн ₽/сутки</x:v>
      </x:c>
      <x:c r="E8" s="325" t="str">
        <x:v>Обязательно</x:v>
      </x:c>
      <x:c r="F8" s="325" t="str">
        <x:v>Учебная оценка; заменить финансовыми актами предприятия</x:v>
      </x:c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325" t="n">
        <x:v>4</x:v>
      </x:c>
      <x:c r="B9" s="325" t="str">
        <x:v>Материалы кейса</x:v>
      </x:c>
      <x:c r="C9" s="325" t="str">
        <x:v>События и шум</x:v>
      </x:c>
      <x:c r="D9" s="325" t="str">
        <x:v>5 400 событий/день; 65% шума</x:v>
      </x:c>
      <x:c r="E9" s="325" t="str">
        <x:v>Факт кейса</x:v>
      </x:c>
      <x:c r="F9" s="325" t="str">
        <x:v>Показывает масштаб, напрямую не монетизируется</x:v>
      </x:c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325" t="n">
        <x:v>5</x:v>
      </x:c>
      <x:c r="B10" s="325" t="str">
        <x:v>Материалы кейса</x:v>
      </x:c>
      <x:c r="C10" s="325" t="str">
        <x:v>Ручная обработка L1</x:v>
      </x:c>
      <x:c r="D10" s="325" t="str">
        <x:v>48 чел.-ч/день</x:v>
      </x:c>
      <x:c r="E10" s="325" t="str">
        <x:v>Факт кейса</x:v>
      </x:c>
      <x:c r="F10" s="325" t="str">
        <x:v>Пересчитывается по актуальной ставке 2 000 ₽/ч</x:v>
      </x:c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325" t="n">
        <x:v>6</x:v>
      </x:c>
      <x:c r="B11" s="325" t="str">
        <x:v>Материалы кейса</x:v>
      </x:c>
      <x:c r="C11" s="325" t="str">
        <x:v>Незамеченный простой</x:v>
      </x:c>
      <x:c r="D11" s="325" t="str">
        <x:v>14 мин; 3,2 млн ₽/инцидент</x:v>
      </x:c>
      <x:c r="E11" s="325" t="str">
        <x:v>Факт кейса</x:v>
      </x:c>
      <x:c r="F11" s="325" t="str">
        <x:v>Стоимость минуты рассчитана линейно</x:v>
      </x:c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325" t="n">
        <x:v>7</x:v>
      </x:c>
      <x:c r="B12" s="325" t="str">
        <x:v>Целевая модель</x:v>
      </x:c>
      <x:c r="C12" s="325" t="str">
        <x:v>Сокращение ручной фильтрации</x:v>
      </x:c>
      <x:c r="D12" s="325" t="str">
        <x:v>60%</x:v>
      </x:c>
      <x:c r="E12" s="325" t="str">
        <x:v>Цель</x:v>
      </x:c>
      <x:c r="F12" s="325" t="str">
        <x:v>Для консервативной оценки можно установить 50%</x:v>
      </x:c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325" t="n">
        <x:v>8</x:v>
      </x:c>
      <x:c r="B13" s="325" t="str">
        <x:v>Проектная спецификация</x:v>
      </x:c>
      <x:c r="C13" s="325" t="str">
        <x:v>Целевой незамеченный простой</x:v>
      </x:c>
      <x:c r="D13" s="325" t="str">
        <x:v>около 4 мин</x:v>
      </x:c>
      <x:c r="E13" s="325" t="str">
        <x:v>Цель</x:v>
      </x:c>
      <x:c r="F13" s="325" t="str">
        <x:v>Не является результатом промышленного A/B-теста</x:v>
      </x:c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325" t="n">
        <x:v>9</x:v>
      </x:c>
      <x:c r="B14" s="325" t="str">
        <x:v>Проектная спецификация</x:v>
      </x:c>
      <x:c r="C14" s="325" t="str">
        <x:v>Инфраструктура</x:v>
      </x:c>
      <x:c r="D14" s="325" t="str">
        <x:v>1,5–2,0 млн ₽</x:v>
      </x:c>
      <x:c r="E14" s="325" t="str">
        <x:v>Диапазон</x:v>
      </x:c>
      <x:c r="F14" s="325" t="str">
        <x:v>В модели используется середина диапазона</x:v>
      </x:c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325" t="n">
        <x:v>10</x:v>
      </x:c>
      <x:c r="B15" s="325" t="str">
        <x:v>Материалы кейса и техническая оптимизация</x:v>
      </x:c>
      <x:c r="C15" s="325" t="str">
        <x:v>GPU</x:v>
      </x:c>
      <x:c r="D15" s="325" t="str">
        <x:v>400 тыс. ₽ исходно; 200 тыс. ₽ экономия</x:v>
      </x:c>
      <x:c r="E15" s="325" t="str">
        <x:v>Оценка</x:v>
      </x:c>
      <x:c r="F15" s="325" t="str">
        <x:v>Включение регулируется переключателем</x:v>
      </x:c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325" t="n">
        <x:v>11</x:v>
      </x:c>
      <x:c r="B16" s="325" t="str">
        <x:v>Проектная спецификация</x:v>
      </x:c>
      <x:c r="C16" s="325" t="str">
        <x:v>Команда и срок</x:v>
      </x:c>
      <x:c r="D16" s="325" t="str">
        <x:v>4–5 человек; 6 месяцев</x:v>
      </x:c>
      <x:c r="E16" s="325" t="str">
        <x:v>Диапазон</x:v>
      </x:c>
      <x:c r="F16" s="325" t="str">
        <x:v>В базовой модели 5 человек</x:v>
      </x:c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325" t="n">
        <x:v>12</x:v>
      </x:c>
      <x:c r="B17" s="325" t="str">
        <x:v>Пилотные измерения</x:v>
      </x:c>
      <x:c r="C17" s="325" t="str">
        <x:v>Производительность и доставка</x:v>
      </x:c>
      <x:c r="D17" s="325" t="str">
        <x:v>225 событий/с; 99,2% доставки</x:v>
      </x:c>
      <x:c r="E17" s="325" t="str">
        <x:v>Технический факт</x:v>
      </x:c>
      <x:c r="F17" s="325" t="str">
        <x:v>Подтверждает техническую реализуемость, не заменяет финансовый эффект</x:v>
      </x:c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325" t="n">
        <x:v>13</x:v>
      </x:c>
      <x:c r="B18" s="325" t="str">
        <x:v>Проектная оценка</x:v>
      </x:c>
      <x:c r="C18" s="325" t="str">
        <x:v>Инциденты, OPEX, обучение</x:v>
      </x:c>
      <x:c r="D18" s="325" t="str">
        <x:v>Сценарные значения</x:v>
      </x:c>
      <x:c r="E18" s="325" t="str">
        <x:v>Допущение</x:v>
      </x:c>
      <x:c r="F18" s="325" t="str">
        <x:v>Обязательно провести чувствительность и заменить фактом</x:v>
      </x:c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325" t="n">
        <x:v>14</x:v>
      </x:c>
      <x:c r="B19" s="325" t="str">
        <x:v>Настоящая модель</x:v>
      </x:c>
      <x:c r="C19" s="325" t="str">
        <x:v>Денежный поток</x:v>
      </x:c>
      <x:c r="D19" s="325" t="str">
        <x:v>36 месяцев</x:v>
      </x:c>
      <x:c r="E19" s="325" t="str">
        <x:v>Расчет</x:v>
      </x:c>
      <x:c r="F19" s="325" t="str">
        <x:v>Выгоды стартуют после 6 месяцев реализации</x:v>
      </x:c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26" t="n">
        <x:v>15</x:v>
      </x:c>
      <x:c r="B20" s="226" t="str">
        <x:v>Банк России — решение от 24.07.2026</x:v>
      </x:c>
      <x:c r="C20" s="226" t="str">
        <x:v>Ключевая ставка и ставка дисконтирования</x:v>
      </x:c>
      <x:c r="D20" s="226" t="str">
        <x:v>14,0%; модель 15,5%</x:v>
      </x:c>
      <x:c r="E20" s="226" t="str">
        <x:v>Официальный источник</x:v>
      </x:c>
      <x:c r="F20" s="329" t="str">
        <x:v>https://www.cbr.ru/press/pr/?file=24072026_133000key.htm</x:v>
      </x:c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9" t="str">
        <x:v>Ограничения инвестиционного решения</x:v>
      </x:c>
      <x:c r="B21" s="59"/>
      <x:c r="C21" s="59"/>
      <x:c r="D21" s="59"/>
      <x:c r="E21" s="59"/>
      <x:c r="F21" s="59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326" t="str">
        <x:v>Расчеты предназначены для учебной защиты проекта. Они не учитывают налоги, инфляцию, стоимость капитала предприятия, изменение штата, страховые выплаты, штрафы регуляторов, последствия промышленной безопасности и нелинейность ущерба от простоя. Перед закупкой необходимы коммерческие предложения, фактическая статистика критических инцидентов, нормирование трудозатрат, подтверждение лицензионных условий, акт пилота и финансовое согласование эффектов с владельцами бизнес-процессов.</x:v>
      </x:c>
      <x:c r="B22" s="326"/>
      <x:c r="C22" s="326"/>
      <x:c r="D22" s="326"/>
      <x:c r="E22" s="326"/>
      <x:c r="F22" s="326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326"/>
      <x:c r="B23" s="326"/>
      <x:c r="C23" s="326"/>
      <x:c r="D23" s="326"/>
      <x:c r="E23" s="326"/>
      <x:c r="F23" s="326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326"/>
      <x:c r="B24" s="326"/>
      <x:c r="C24" s="326"/>
      <x:c r="D24" s="326"/>
      <x:c r="E24" s="326"/>
      <x:c r="F24" s="326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326"/>
      <x:c r="B25" s="326"/>
      <x:c r="C25" s="326"/>
      <x:c r="D25" s="326"/>
      <x:c r="E25" s="326"/>
      <x:c r="F25" s="326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326"/>
      <x:c r="B26" s="326"/>
      <x:c r="C26" s="326"/>
      <x:c r="D26" s="326"/>
      <x:c r="E26" s="326"/>
      <x:c r="F26" s="326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326"/>
      <x:c r="B27" s="326"/>
      <x:c r="C27" s="326"/>
      <x:c r="D27" s="326"/>
      <x:c r="E27" s="326"/>
      <x:c r="F27" s="326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F2"/>
    <x:mergeCell ref="A3:F3"/>
    <x:mergeCell ref="A21:F21"/>
    <x:mergeCell ref="A22:F27"/>
  </x:mergeCells>
  <x:conditionalFormatting sqref="E6:E19">
    <x:cfRule type="expression" dxfId="7" priority="1">
      <x:formula>OR($E6="Обязательно",$E6="Факт кейса",$E6="Технический факт")</x:formula>
    </x:cfRule>
    <x:cfRule type="expression" dxfId="8" priority="2">
      <x:formula>OR($E6="Допущение",$E6="Оценка",$E6="Диапазон")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53" t="str">
        <x:v>Экономика платформы «Диспетчер»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4" t="str">
        <x:v>Сравнение «без системы / с системой», бюджет, годовой эффект и кривая безубыточности.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19" t="str">
        <x:v>Активный сценарий</x:v>
      </x:c>
      <x:c r="B5" s="219"/>
      <x:c r="C5" s="219"/>
      <x:c r="D5" s="219" t="str">
        <x:v>Первоначальные инвестиции</x:v>
      </x:c>
      <x:c r="E5" s="219"/>
      <x:c r="F5" s="219"/>
      <x:c r="G5" s="219" t="str">
        <x:v>Чистая экономия / год</x:v>
      </x:c>
      <x:c r="H5" s="219"/>
      <x:c r="I5" s="219"/>
      <x:c r="J5" s="219" t="str">
        <x:v>Точка безубыточности</x:v>
      </x:c>
      <x:c r="K5" s="219"/>
      <x:c r="L5" s="219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20" t="str">
        <x:f>'Допущения'!$C$4</x:f>
        <x:v>Студенты</x:v>
      </x:c>
      <x:c r="B6" s="220"/>
      <x:c r="C6" s="220"/>
      <x:c r="D6" s="221" t="n">
        <x:f>'Сравнение'!$B$39</x:f>
        <x:v>20955000</x:v>
      </x:c>
      <x:c r="E6" s="221"/>
      <x:c r="F6" s="221"/>
      <x:c r="G6" s="221" t="n">
        <x:f>IF('Допущения'!$C$4="Студенты",'Сравнение'!$G$31,'Сравнение'!$G$32)</x:f>
        <x:v>26819142.857142854</x:v>
      </x:c>
      <x:c r="H6" s="221"/>
      <x:c r="I6" s="221"/>
      <x:c r="J6" s="222" t="n">
        <x:f>'Денежный поток'!$J$5</x:f>
        <x:v>16</x:v>
      </x:c>
      <x:c r="K6" s="222"/>
      <x:c r="L6" s="222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20"/>
      <x:c r="B7" s="220"/>
      <x:c r="C7" s="220"/>
      <x:c r="D7" s="221"/>
      <x:c r="E7" s="221"/>
      <x:c r="F7" s="221"/>
      <x:c r="G7" s="221"/>
      <x:c r="H7" s="221"/>
      <x:c r="I7" s="221"/>
      <x:c r="J7" s="222"/>
      <x:c r="K7" s="222"/>
      <x:c r="L7" s="222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23"/>
      <x:c r="B8" s="223"/>
      <x:c r="C8" s="223"/>
      <x:c r="D8" s="224"/>
      <x:c r="E8" s="224"/>
      <x:c r="F8" s="224"/>
      <x:c r="G8" s="224"/>
      <x:c r="H8" s="224"/>
      <x:c r="I8" s="224"/>
      <x:c r="J8" s="225"/>
      <x:c r="K8" s="225"/>
      <x:c r="L8" s="225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Сравнение сценариев</x:v>
      </x:c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60" t="str">
        <x:v>Годовые затраты</x:v>
      </x:c>
      <x:c r="B11" s="60" t="str">
        <x:v>Студенты</x:v>
      </x:c>
      <x:c r="C11" s="60" t="str">
        <x:v>НПЗ / МС</x:v>
      </x:c>
      <x:c r="D11" s="226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26" t="str">
        <x:v>Без системы</x:v>
      </x:c>
      <x:c r="B12" s="227" t="n">
        <x:f>'Сравнение'!$E$31</x:f>
        <x:v>45200000</x:v>
      </x:c>
      <x:c r="C12" s="227" t="n">
        <x:f>'Сравнение'!$E$32</x:f>
        <x:v>26550000</x:v>
      </x:c>
      <x:c r="D12" s="226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26" t="str">
        <x:v>С системой</x:v>
      </x:c>
      <x:c r="B13" s="227" t="n">
        <x:f>'Сравнение'!$F$31</x:f>
        <x:v>18380857.142857146</x:v>
      </x:c>
      <x:c r="C13" s="227" t="n">
        <x:f>'Сравнение'!$F$32</x:f>
        <x:v>12826000</x:v>
      </x:c>
      <x:c r="D13" s="226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28" t="str">
        <x:v>Чистая экономия</x:v>
      </x:c>
      <x:c r="B14" s="229" t="n">
        <x:f>'Сравнение'!$G$31</x:f>
        <x:v>26819142.857142854</x:v>
      </x:c>
      <x:c r="C14" s="229" t="n">
        <x:f>'Сравнение'!$G$32</x:f>
        <x:v>13724000</x:v>
      </x:c>
      <x:c r="D14" s="226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28" t="str">
        <x:v>Сокращение, %</x:v>
      </x:c>
      <x:c r="B15" s="230" t="n">
        <x:f>'Сравнение'!$H$31</x:f>
        <x:v>0.5933438685208596</x:v>
      </x:c>
      <x:c r="C15" s="230" t="n">
        <x:f>'Сравнение'!$H$32</x:f>
        <x:v>0.5169114877589454</x:v>
      </x:c>
      <x:c r="D15" s="226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26"/>
      <x:c r="B16" s="226"/>
      <x:c r="C16" s="226"/>
      <x:c r="D16" s="226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67" t="str">
        <x:v>Структура годового эффекта</x:v>
      </x:c>
      <x:c r="B17" s="67"/>
      <x:c r="C17" s="67"/>
      <x:c r="D17" s="67"/>
      <x:c r="E17" s="59"/>
      <x:c r="F17" s="59"/>
      <x:c r="G17" s="59"/>
      <x:c r="H17" s="59"/>
      <x:c r="I17" s="59"/>
      <x:c r="J17" s="59"/>
      <x:c r="K17" s="59"/>
      <x:c r="L17" s="59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60" t="str">
        <x:v>Источник эффекта</x:v>
      </x:c>
      <x:c r="B18" s="60" t="str">
        <x:v>Студенты</x:v>
      </x:c>
      <x:c r="C18" s="60" t="str">
        <x:v>НПЗ / МС</x:v>
      </x:c>
      <x:c r="D18" s="226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26" t="str">
        <x:v>Сокращение ручного труда</x:v>
      </x:c>
      <x:c r="B19" s="227" t="n">
        <x:f>'Сравнение'!$D$9</x:f>
        <x:v>21024000</x:v>
      </x:c>
      <x:c r="C19" s="227" t="n">
        <x:f>'Сравнение'!$H$9</x:f>
        <x:v>8760000</x:v>
      </x:c>
      <x:c r="D19" s="226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26" t="str">
        <x:v>Сокращение простоев</x:v>
      </x:c>
      <x:c r="B20" s="227" t="n">
        <x:f>'Сравнение'!$D$13</x:f>
        <x:v>6857142.857142857</x:v>
      </x:c>
      <x:c r="C20" s="227" t="n">
        <x:f>'Сравнение'!$H$13</x:f>
        <x:v>6250000</x:v>
      </x:c>
      <x:c r="D20" s="226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226" t="str">
        <x:v>Ускорение подключений</x:v>
      </x:c>
      <x:c r="B21" s="227" t="n">
        <x:f>'Сравнение'!$D$17</x:f>
        <x:v>448000</x:v>
      </x:c>
      <x:c r="C21" s="227" t="n">
        <x:f>'Сравнение'!$H$17</x:f>
        <x:v>224000</x:v>
      </x:c>
      <x:c r="D21" s="226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226"/>
      <x:c r="B22" s="226"/>
      <x:c r="C22" s="226"/>
      <x:c r="D22" s="226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226"/>
      <x:c r="B23" s="226"/>
      <x:c r="C23" s="226"/>
      <x:c r="D23" s="226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67" t="str">
        <x:v>Ключевые нефинансовые KPI</x:v>
      </x:c>
      <x:c r="B24" s="67"/>
      <x:c r="C24" s="67"/>
      <x:c r="D24" s="6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60" t="str">
        <x:v>Показатель</x:v>
      </x:c>
      <x:c r="B25" s="60" t="str">
        <x:v>Студенты</x:v>
      </x:c>
      <x:c r="C25" s="60" t="str">
        <x:v>НПЗ / МС</x:v>
      </x:c>
      <x:c r="D25" s="60" t="str">
        <x:v>Смысл</x:v>
      </x:c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226" t="str">
        <x:v>Сэкономлено труда, ч/год</x:v>
      </x:c>
      <x:c r="B26" s="231" t="n">
        <x:f>'Сравнение'!$D$21</x:f>
        <x:v>10512</x:v>
      </x:c>
      <x:c r="C26" s="231" t="n">
        <x:f>'Сравнение'!$H$21</x:f>
        <x:v>4380</x:v>
      </x:c>
      <x:c r="D26" s="226" t="str">
        <x:v>Снижение ежедневной ручной фильтрации</x:v>
      </x:c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226" t="str">
        <x:v>Сокращение простоя, мин/год</x:v>
      </x:c>
      <x:c r="B27" s="231" t="n">
        <x:f>'Сравнение'!$D$23</x:f>
        <x:v>30</x:v>
      </x:c>
      <x:c r="C27" s="231" t="n">
        <x:f>'Сравнение'!$H$23</x:f>
        <x:v>60</x:v>
      </x:c>
      <x:c r="D27" s="226" t="str">
        <x:v>Более быстрая адресная реакция</x:v>
      </x:c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226" t="str">
        <x:v>Сокращение адресатов P0</x:v>
      </x:c>
      <x:c r="B28" s="232" t="n">
        <x:f>'Сравнение'!$E$24</x:f>
        <x:v>0.99</x:v>
      </x:c>
      <x:c r="C28" s="232" t="n">
        <x:f>'Сравнение'!$I$24</x:f>
        <x:v>0.96</x:v>
      </x:c>
      <x:c r="D28" s="226" t="str">
        <x:v>Снижение информационного шума</x:v>
      </x:c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226" t="str">
        <x:v>Срок окупаемости, мес.</x:v>
      </x:c>
      <x:c r="B29" s="233" t="n">
        <x:f>'Допущения'!$C$12+'Сравнение'!$B$39/('Сравнение'!$G$31/12)</x:f>
        <x:v>15.376138579053341</x:v>
      </x:c>
      <x:c r="C29" s="233" t="n">
        <x:f>'Допущения'!$C$12+'Сравнение'!$B$39/('Сравнение'!$G$32/12)</x:f>
        <x:v>24.322646458758378</x:v>
      </x:c>
      <x:c r="D29" s="226" t="str">
        <x:v>От начала проекта</x:v>
      </x:c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226" t="str">
        <x:v>3-летний ROI</x:v>
      </x:c>
      <x:c r="B30" s="232" t="n">
        <x:f>('Сравнение'!$G$31*3-'Сравнение'!$B$39)/'Сравнение'!$B$39</x:f>
        <x:v>2.839533694651805</x:v>
      </x:c>
      <x:c r="C30" s="232" t="n">
        <x:f>('Сравнение'!$G$32*3-'Сравнение'!$B$39)/'Сравнение'!$B$39</x:f>
        <x:v>0.9647816750178955</x:v>
      </x:c>
      <x:c r="D30" s="226" t="str">
        <x:v>До дисконтирования</x:v>
      </x:c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226" t="str">
        <x:v>NPV за 3 года</x:v>
      </x:c>
      <x:c r="B31" s="227" t="n">
        <x:f>IF('Допущения'!$C$24=0,'Сравнение'!$G$31*('Допущения'!$C$25-'Допущения'!$C$12)/12-'Сравнение'!$B$39,-('Сравнение'!$B$39-'Сравнение'!$B$31)-('Сравнение'!$B$31/'Допущения'!$C$12)*((1-(1+'Допущения'!$C$24/12)^(-'Допущения'!$C$12))/('Допущения'!$C$24/12))+('Сравнение'!$G$31/12)*((1-(1+'Допущения'!$C$24/12)^(-('Допущения'!$C$25-'Допущения'!$C$12)))/('Допущения'!$C$24/12))/(1+'Допущения'!$C$24/12)^'Допущения'!$C$12)</x:f>
        <x:v>30973919.29718855</x:v>
      </x:c>
      <x:c r="C31" s="227" t="n">
        <x:f>IF('Допущения'!$C$24=0,'Сравнение'!$G$32*('Допущения'!$C$25-'Допущения'!$C$12)/12-'Сравнение'!$B$39,-('Сравнение'!$B$39-'Сравнение'!$B$31)-('Сравнение'!$B$31/'Допущения'!$C$12)*((1-(1+'Допущения'!$C$24/12)^(-'Допущения'!$C$12))/('Допущения'!$C$24/12))+('Сравнение'!$G$32/12)*((1-(1+'Допущения'!$C$24/12)^(-('Допущения'!$C$25-'Допущения'!$C$12)))/('Допущения'!$C$24/12))/(1+'Допущения'!$C$24/12)^'Допущения'!$C$12)</x:f>
        <x:v>5976710.008395717</x:v>
      </x:c>
      <x:c r="D31" s="226" t="str">
        <x:v>С учетом ставки дисконтирования</x:v>
      </x:c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9" t="str">
        <x:v>Кривая безубыточности выбранного сценария</x:v>
      </x:c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234" t="str">
        <x:v>Вывод: платформа создает эффект за счет трех независимых механизмов — сокращения ручной обработки, уменьшения времени незамеченного простоя и ускорения подключения новых источников. Базовая модель отделяет первоначальный бюджет проекта от ежегодных эксплуатационных расходов и показывает срок окупаемости на помесячной кривой.</x:v>
      </x:c>
      <x:c r="B59" s="234"/>
      <x:c r="C59" s="234"/>
      <x:c r="D59" s="234"/>
      <x:c r="E59" s="234"/>
      <x:c r="F59" s="234"/>
      <x:c r="G59" s="234"/>
      <x:c r="H59" s="234"/>
      <x:c r="I59" s="234"/>
      <x:c r="J59" s="234"/>
      <x:c r="K59" s="234"/>
      <x:c r="L59" s="234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234"/>
      <x:c r="B60" s="234"/>
      <x:c r="C60" s="234"/>
      <x:c r="D60" s="234"/>
      <x:c r="E60" s="234"/>
      <x:c r="F60" s="234"/>
      <x:c r="G60" s="234"/>
      <x:c r="H60" s="234"/>
      <x:c r="I60" s="234"/>
      <x:c r="J60" s="234"/>
      <x:c r="K60" s="234"/>
      <x:c r="L60" s="234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234"/>
      <x:c r="B61" s="234"/>
      <x:c r="C61" s="234"/>
      <x:c r="D61" s="234"/>
      <x:c r="E61" s="234"/>
      <x:c r="F61" s="234"/>
      <x:c r="G61" s="234"/>
      <x:c r="H61" s="234"/>
      <x:c r="I61" s="234"/>
      <x:c r="J61" s="234"/>
      <x:c r="K61" s="234"/>
      <x:c r="L61" s="234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235" t="str">
        <x:v>Все значения являются примерными и предназначены для учебных целей. Для защиты рекомендуется показать базовый сценарий, затем изменить долю сокращения труда и число инцидентов на листе «Допущения» и продемонстрировать чувствительность результата.</x:v>
      </x:c>
      <x:c r="B63" s="235"/>
      <x:c r="C63" s="235"/>
      <x:c r="D63" s="235"/>
      <x:c r="E63" s="235"/>
      <x:c r="F63" s="235"/>
      <x:c r="G63" s="235"/>
      <x:c r="H63" s="235"/>
      <x:c r="I63" s="235"/>
      <x:c r="J63" s="235"/>
      <x:c r="K63" s="235"/>
      <x:c r="L63" s="235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235"/>
      <x:c r="B64" s="235"/>
      <x:c r="C64" s="235"/>
      <x:c r="D64" s="235"/>
      <x:c r="E64" s="235"/>
      <x:c r="F64" s="235"/>
      <x:c r="G64" s="235"/>
      <x:c r="H64" s="235"/>
      <x:c r="I64" s="235"/>
      <x:c r="J64" s="235"/>
      <x:c r="K64" s="235"/>
      <x:c r="L64" s="235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235"/>
      <x:c r="B65" s="235"/>
      <x:c r="C65" s="235"/>
      <x:c r="D65" s="235"/>
      <x:c r="E65" s="235"/>
      <x:c r="F65" s="235"/>
      <x:c r="G65" s="235"/>
      <x:c r="H65" s="235"/>
      <x:c r="I65" s="235"/>
      <x:c r="J65" s="235"/>
      <x:c r="K65" s="235"/>
      <x:c r="L65" s="235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L10"/>
    <x:mergeCell ref="A17:L17"/>
    <x:mergeCell ref="A24:D24"/>
    <x:mergeCell ref="A39:L39"/>
    <x:mergeCell ref="A59:L61"/>
    <x:mergeCell ref="A63:L65"/>
  </x:mergeCells>
  <x:pageMargins left="0.7" right="0.7" top="0.75" bottom="0.75" header="0.3" footer="0.3"/>
  <x:drawing xmlns:r="http://schemas.openxmlformats.org/officeDocument/2006/relationships" r:id="R7d93ad0ad938465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0.670000076293945" hidden="0" customWidth="1"/>
    <x:col min="3" max="3" width="11.5600004196167" hidden="0" customWidth="1"/>
    <x:col min="4" max="4" width="11.5600004196167" hidden="0" customWidth="1"/>
    <x:col min="5" max="5" width="11.5600004196167" hidden="0" customWidth="1"/>
    <x:col min="6" max="6" width="11.5600004196167" hidden="0" customWidth="1"/>
    <x:col min="7" max="7" width="11.5600004196167" hidden="0" customWidth="1"/>
    <x:col min="8" max="8" width="11.5600004196167" hidden="0" customWidth="1"/>
    <x:col min="9" max="9" width="11.5600004196167" hidden="0" customWidth="1"/>
    <x:col min="10" max="10" width="11.5600004196167" hidden="0" customWidth="1"/>
    <x:col min="11" max="11" width="11.5600004196167" hidden="0" customWidth="1"/>
    <x:col min="12" max="12" width="11.5600004196167" hidden="0" customWidth="1"/>
    <x:col min="13" max="13" width="11.5600004196167" hidden="0" customWidth="1"/>
    <x:col min="14" max="14" width="11.5600004196167" hidden="0" customWidth="1"/>
    <x:col min="15" max="15" width="11.5600004196167" hidden="0" customWidth="1"/>
    <x:col min="16" max="16" width="11.5600004196167" hidden="0" customWidth="1"/>
    <x:col min="17" max="17" width="11.5600004196167" hidden="0" customWidth="1"/>
  </x:cols>
  <x:sheetData>
    <x:row r="1">
      <x:c r="A1" s="333" t="str">
        <x:v>Инвестиционный расчет: денежные потоки, NPV, PI, ROI, IRR и CDD</x:v>
      </x:c>
      <x:c r="B1" s="333"/>
      <x:c r="C1" s="333"/>
      <x:c r="D1" s="333"/>
      <x:c r="E1" s="333"/>
      <x:c r="F1" s="333"/>
      <x:c r="G1" s="333"/>
      <x:c r="H1" s="333"/>
      <x:c r="I1" s="333"/>
      <x:c r="J1" s="333"/>
      <x:c r="K1" s="333"/>
      <x:c r="L1" s="333"/>
      <x:c r="M1" s="333"/>
      <x:c r="N1" s="333"/>
      <x:c r="O1" s="333"/>
      <x:c r="P1" s="333"/>
      <x:c r="Q1" s="333"/>
    </x:row>
    <x:row r="2">
      <x:c r="A2" s="333"/>
      <x:c r="B2" s="333"/>
      <x:c r="C2" s="333"/>
      <x:c r="D2" s="333"/>
      <x:c r="E2" s="333"/>
      <x:c r="F2" s="333"/>
      <x:c r="G2" s="333"/>
      <x:c r="H2" s="333"/>
      <x:c r="I2" s="333"/>
      <x:c r="J2" s="333"/>
      <x:c r="K2" s="333"/>
      <x:c r="L2" s="333"/>
      <x:c r="M2" s="333"/>
      <x:c r="N2" s="333"/>
      <x:c r="O2" s="333"/>
      <x:c r="P2" s="333"/>
      <x:c r="Q2" s="333"/>
    </x:row>
    <x:row r="3">
      <x:c r="A3" s="336" t="str">
        <x:v>Методика: помесячное дисконтирование эффективной годовой ставки; поток месяца относится к концу месяца; ликвидационная стоимость не учитывается.</x:v>
      </x:c>
      <x:c r="B3" s="336"/>
      <x:c r="C3" s="336"/>
      <x:c r="D3" s="336"/>
      <x:c r="E3" s="336"/>
      <x:c r="F3" s="336"/>
      <x:c r="G3" s="336"/>
      <x:c r="H3" s="336"/>
      <x:c r="I3" s="336"/>
      <x:c r="J3" s="336"/>
      <x:c r="K3" s="336"/>
      <x:c r="L3" s="336"/>
      <x:c r="M3" s="336"/>
      <x:c r="N3" s="336"/>
      <x:c r="O3" s="336"/>
      <x:c r="P3" s="336"/>
      <x:c r="Q3" s="336"/>
    </x:row>
    <x:row r="4">
      <x:c r="A4" s="345" t="str">
        <x:v>Ключевая ставка Банка России</x:v>
      </x:c>
      <x:c r="B4" s="346" t="n">
        <x:v>0.14</x:v>
      </x:c>
      <x:c r="C4" s="330"/>
      <x:c r="D4" s="330"/>
      <x:c r="E4" s="330"/>
      <x:c r="F4" s="330"/>
      <x:c r="G4" s="330"/>
      <x:c r="H4" s="330"/>
      <x:c r="I4" s="330"/>
      <x:c r="J4" s="330"/>
      <x:c r="K4" s="330"/>
      <x:c r="L4" s="330"/>
      <x:c r="M4" s="330"/>
      <x:c r="N4" s="330"/>
      <x:c r="O4" s="330"/>
      <x:c r="P4" s="330"/>
      <x:c r="Q4" s="330"/>
    </x:row>
    <x:row r="5">
      <x:c r="A5" s="347" t="str">
        <x:v>Премия к ключевой ставке</x:v>
      </x:c>
      <x:c r="B5" s="348" t="n">
        <x:v>0.015</x:v>
      </x:c>
      <x:c r="C5" s="330"/>
      <x:c r="D5" s="330"/>
      <x:c r="E5" s="330"/>
      <x:c r="F5" s="330"/>
      <x:c r="G5" s="330"/>
      <x:c r="H5" s="330"/>
      <x:c r="I5" s="330"/>
      <x:c r="J5" s="330"/>
      <x:c r="K5" s="330"/>
      <x:c r="L5" s="330"/>
      <x:c r="M5" s="330"/>
      <x:c r="N5" s="330"/>
      <x:c r="O5" s="330"/>
      <x:c r="P5" s="330"/>
      <x:c r="Q5" s="330"/>
    </x:row>
    <x:row r="6">
      <x:c r="A6" s="347" t="str">
        <x:v>Ставка дисконтирования</x:v>
      </x:c>
      <x:c r="B6" s="349" t="n">
        <x:f>'Допущения'!$C$24</x:f>
        <x:v>0.155</x:v>
      </x:c>
      <x:c r="C6" s="330"/>
      <x:c r="D6" s="330"/>
      <x:c r="E6" s="330"/>
      <x:c r="F6" s="330"/>
      <x:c r="G6" s="330"/>
      <x:c r="H6" s="330"/>
      <x:c r="I6" s="330"/>
      <x:c r="J6" s="330"/>
      <x:c r="K6" s="330"/>
      <x:c r="L6" s="330"/>
      <x:c r="M6" s="330"/>
      <x:c r="N6" s="330"/>
      <x:c r="O6" s="330"/>
      <x:c r="P6" s="330"/>
      <x:c r="Q6" s="330"/>
    </x:row>
    <x:row r="7">
      <x:c r="A7" s="347" t="str">
        <x:v>Эффективная месячная ставка</x:v>
      </x:c>
      <x:c r="B7" s="349" t="n">
        <x:f>(1+B6)^(1/12)-1</x:f>
        <x:v>0.0120807518477275</x:v>
      </x:c>
      <x:c r="C7" s="330"/>
      <x:c r="D7" s="330"/>
      <x:c r="E7" s="330"/>
      <x:c r="F7" s="330"/>
      <x:c r="G7" s="330"/>
      <x:c r="H7" s="330"/>
      <x:c r="I7" s="330"/>
      <x:c r="J7" s="330"/>
      <x:c r="K7" s="330"/>
      <x:c r="L7" s="330"/>
      <x:c r="M7" s="330"/>
      <x:c r="N7" s="330"/>
      <x:c r="O7" s="330"/>
      <x:c r="P7" s="330"/>
      <x:c r="Q7" s="330"/>
    </x:row>
    <x:row r="8">
      <x:c r="A8" s="350" t="str">
        <x:v>Горизонт модели, мес.</x:v>
      </x:c>
      <x:c r="B8" s="351" t="n">
        <x:f>'Допущения'!$C$25</x:f>
        <x:v>36</x:v>
      </x:c>
      <x:c r="C8" s="330"/>
      <x:c r="D8" s="330"/>
      <x:c r="E8" s="330"/>
      <x:c r="F8" s="330"/>
      <x:c r="G8" s="330"/>
      <x:c r="H8" s="330"/>
      <x:c r="I8" s="330"/>
      <x:c r="J8" s="330"/>
      <x:c r="K8" s="330"/>
      <x:c r="L8" s="330"/>
      <x:c r="M8" s="330"/>
      <x:c r="N8" s="330"/>
      <x:c r="O8" s="330"/>
      <x:c r="P8" s="330"/>
      <x:c r="Q8" s="330"/>
    </x:row>
    <x:row r="9">
      <x:c r="A9" s="330"/>
      <x:c r="B9" s="330"/>
      <x:c r="C9" s="330"/>
      <x:c r="D9" s="330"/>
      <x:c r="E9" s="330"/>
      <x:c r="F9" s="330"/>
      <x:c r="G9" s="330"/>
      <x:c r="H9" s="330"/>
      <x:c r="I9" s="330"/>
      <x:c r="J9" s="330"/>
      <x:c r="K9" s="330"/>
      <x:c r="L9" s="330"/>
      <x:c r="M9" s="330"/>
      <x:c r="N9" s="330"/>
      <x:c r="O9" s="330"/>
      <x:c r="P9" s="330"/>
      <x:c r="Q9" s="330"/>
    </x:row>
    <x:row r="10">
      <x:c r="A10" s="353" t="str">
        <x:v>Сценарий 1 — Студенты / техническая поддержка</x:v>
      </x:c>
      <x:c r="B10" s="353"/>
      <x:c r="C10" s="353"/>
      <x:c r="D10" s="353"/>
      <x:c r="E10" s="353"/>
      <x:c r="F10" s="353"/>
      <x:c r="G10" s="353"/>
      <x:c r="H10" s="353"/>
      <x:c r="I10" s="353"/>
      <x:c r="J10" s="353"/>
      <x:c r="K10" s="353"/>
      <x:c r="L10" s="353"/>
      <x:c r="M10" s="353"/>
      <x:c r="N10" s="353"/>
      <x:c r="O10" s="353"/>
      <x:c r="P10" s="353"/>
      <x:c r="Q10" s="353"/>
    </x:row>
    <x:row r="11">
      <x:c r="A11" s="330"/>
      <x:c r="B11" s="330"/>
      <x:c r="C11" s="330"/>
      <x:c r="D11" s="330"/>
      <x:c r="E11" s="330"/>
      <x:c r="F11" s="330"/>
      <x:c r="G11" s="330"/>
      <x:c r="H11" s="330"/>
      <x:c r="I11" s="330"/>
      <x:c r="J11" s="330"/>
      <x:c r="K11" s="330"/>
      <x:c r="L11" s="330"/>
      <x:c r="M11" s="330"/>
      <x:c r="N11" s="330"/>
      <x:c r="O11" s="330"/>
      <x:c r="P11" s="330"/>
      <x:c r="Q11" s="330"/>
    </x:row>
    <x:row r="12">
      <x:c r="A12" s="356" t="str">
        <x:v>Месяц</x:v>
      </x:c>
      <x:c r="B12" s="356" t="str">
        <x:v>Этап</x:v>
      </x:c>
      <x:c r="C12" s="356" t="str">
        <x:v>Затраты</x:v>
      </x:c>
      <x:c r="D12" s="356" t="str">
        <x:v>Эффект труда</x:v>
      </x:c>
      <x:c r="E12" s="356" t="str">
        <x:v>Эффект простоя</x:v>
      </x:c>
      <x:c r="F12" s="356" t="str">
        <x:v>Эффект подключений</x:v>
      </x:c>
      <x:c r="G12" s="356" t="str">
        <x:v>Выгоды</x:v>
      </x:c>
      <x:c r="H12" s="356" t="str">
        <x:v>Чистый поток</x:v>
      </x:c>
      <x:c r="I12" s="356" t="str">
        <x:v>Коэф. диск.</x:v>
      </x:c>
      <x:c r="J12" s="356" t="str">
        <x:v>PV затрат</x:v>
      </x:c>
      <x:c r="K12" s="356" t="str">
        <x:v>PV выгод</x:v>
      </x:c>
      <x:c r="L12" s="356" t="str">
        <x:v>Диск. поток</x:v>
      </x:c>
      <x:c r="M12" s="356" t="str">
        <x:v>Накопленный поток</x:v>
      </x:c>
      <x:c r="N12" s="356" t="str">
        <x:v>CDD</x:v>
      </x:c>
      <x:c r="O12" s="356" t="str">
        <x:v>Флаг PP</x:v>
      </x:c>
      <x:c r="P12" s="356" t="str">
        <x:v>Флаг DPP</x:v>
      </x:c>
      <x:c r="Q12" s="356" t="str">
        <x:v>Нулевая линия</x:v>
      </x:c>
    </x:row>
    <x:row r="13">
      <x:c r="A13" s="361" t="n">
        <x:v>0</x:v>
      </x:c>
      <x:c r="B13" s="370" t="str">
        <x:f>'Денежный поток'!$B$10</x:f>
        <x:v>Старт</x:v>
      </x:c>
      <x:c r="C13" s="371" t="n">
        <x:f>'Денежный поток'!$F$10</x:f>
        <x:v>4155000</x:v>
      </x:c>
      <x:c r="D13" s="362" t="n">
        <x:f>IF(A13&gt;'Допущения'!$C$12,'Сравнение'!$D$9/12,0)</x:f>
        <x:v>0</x:v>
      </x:c>
      <x:c r="E13" s="362" t="n">
        <x:f>IF(A13&gt;'Допущения'!$C$12,'Сравнение'!$D$13/12,0)</x:f>
        <x:v>0</x:v>
      </x:c>
      <x:c r="F13" s="362" t="n">
        <x:f>IF(A13&gt;'Допущения'!$C$12,'Сравнение'!$D$17/12,0)</x:f>
        <x:v>0</x:v>
      </x:c>
      <x:c r="G13" s="362" t="n">
        <x:f>SUM(D13:F13)</x:f>
        <x:v>0</x:v>
      </x:c>
      <x:c r="H13" s="362" t="n">
        <x:f>G13-C13</x:f>
        <x:v>-4155000</x:v>
      </x:c>
      <x:c r="I13" s="363" t="n">
        <x:f>1/(1+$B$7)^A13</x:f>
        <x:v>1</x:v>
      </x:c>
      <x:c r="J13" s="362" t="n">
        <x:f>C13*I13</x:f>
        <x:v>4155000</x:v>
      </x:c>
      <x:c r="K13" s="362" t="n">
        <x:f>G13*I13</x:f>
        <x:v>0</x:v>
      </x:c>
      <x:c r="L13" s="376" t="n">
        <x:f>H13*I13</x:f>
        <x:v>-4155000</x:v>
      </x:c>
      <x:c r="M13" s="376" t="n">
        <x:f>H13</x:f>
        <x:v>-4155000</x:v>
      </x:c>
      <x:c r="N13" s="376" t="n">
        <x:f>L13</x:f>
        <x:v>-4155000</x:v>
      </x:c>
      <x:c r="O13" s="361" t="n">
        <x:f>0</x:f>
        <x:v>0</x:v>
      </x:c>
      <x:c r="P13" s="361" t="n">
        <x:f>0</x:f>
        <x:v>0</x:v>
      </x:c>
      <x:c r="Q13" s="361" t="n">
        <x:f>0</x:f>
        <x:v>0</x:v>
      </x:c>
    </x:row>
    <x:row r="14">
      <x:c r="A14" s="364" t="n">
        <x:v>1</x:v>
      </x:c>
      <x:c r="B14" s="372" t="str">
        <x:f>'Денежный поток'!$B$11</x:f>
        <x:v>Разработка</x:v>
      </x:c>
      <x:c r="C14" s="373" t="n">
        <x:f>'Денежный поток'!$F$11</x:f>
        <x:v>2800000</x:v>
      </x:c>
      <x:c r="D14" s="365" t="n">
        <x:f>IF(A14&gt;'Допущения'!$C$12,'Сравнение'!$D$9/12,0)</x:f>
        <x:v>0</x:v>
      </x:c>
      <x:c r="E14" s="365" t="n">
        <x:f>IF(A14&gt;'Допущения'!$C$12,'Сравнение'!$D$13/12,0)</x:f>
        <x:v>0</x:v>
      </x:c>
      <x:c r="F14" s="365" t="n">
        <x:f>IF(A14&gt;'Допущения'!$C$12,'Сравнение'!$D$17/12,0)</x:f>
        <x:v>0</x:v>
      </x:c>
      <x:c r="G14" s="365" t="n">
        <x:f>SUM(D14:F14)</x:f>
        <x:v>0</x:v>
      </x:c>
      <x:c r="H14" s="365" t="n">
        <x:f>G14-C14</x:f>
        <x:v>-2800000</x:v>
      </x:c>
      <x:c r="I14" s="366" t="n">
        <x:f>1/(1+$B$7)^A14</x:f>
        <x:v>0.9880634506429729</x:v>
      </x:c>
      <x:c r="J14" s="365" t="n">
        <x:f>C14*I14</x:f>
        <x:v>2766577.661800324</x:v>
      </x:c>
      <x:c r="K14" s="365" t="n">
        <x:f>G14*I14</x:f>
        <x:v>0</x:v>
      </x:c>
      <x:c r="L14" s="377" t="n">
        <x:f>H14*I14</x:f>
        <x:v>-2766577.661800324</x:v>
      </x:c>
      <x:c r="M14" s="377" t="n">
        <x:f>M13+H14</x:f>
        <x:v>-6955000</x:v>
      </x:c>
      <x:c r="N14" s="377" t="n">
        <x:f>N13+L14</x:f>
        <x:v>-6921577.661800324</x:v>
      </x:c>
      <x:c r="O14" s="364" t="n">
        <x:f>IF(AND(M14&gt;=0,M13&lt;0),A14,0)</x:f>
        <x:v>0</x:v>
      </x:c>
      <x:c r="P14" s="364" t="n">
        <x:f>IF(AND(N14&gt;=0,N13&lt;0),A14,0)</x:f>
        <x:v>0</x:v>
      </x:c>
      <x:c r="Q14" s="364" t="n">
        <x:f>0</x:f>
        <x:v>0</x:v>
      </x:c>
    </x:row>
    <x:row r="15">
      <x:c r="A15" s="364" t="n">
        <x:v>2</x:v>
      </x:c>
      <x:c r="B15" s="372" t="str">
        <x:f>'Денежный поток'!$B$12</x:f>
        <x:v>Разработка</x:v>
      </x:c>
      <x:c r="C15" s="373" t="n">
        <x:f>'Денежный поток'!$F$12</x:f>
        <x:v>2800000</x:v>
      </x:c>
      <x:c r="D15" s="365" t="n">
        <x:f>IF(A15&gt;'Допущения'!$C$12,'Сравнение'!$D$9/12,0)</x:f>
        <x:v>0</x:v>
      </x:c>
      <x:c r="E15" s="365" t="n">
        <x:f>IF(A15&gt;'Допущения'!$C$12,'Сравнение'!$D$13/12,0)</x:f>
        <x:v>0</x:v>
      </x:c>
      <x:c r="F15" s="365" t="n">
        <x:f>IF(A15&gt;'Допущения'!$C$12,'Сравнение'!$D$17/12,0)</x:f>
        <x:v>0</x:v>
      </x:c>
      <x:c r="G15" s="365" t="n">
        <x:f>SUM(D15:F15)</x:f>
        <x:v>0</x:v>
      </x:c>
      <x:c r="H15" s="365" t="n">
        <x:f>G15-C15</x:f>
        <x:v>-2800000</x:v>
      </x:c>
      <x:c r="I15" s="366" t="n">
        <x:f>1/(1+$B$7)^A15</x:f>
        <x:v>0.9762693824964985</x:v>
      </x:c>
      <x:c r="J15" s="365" t="n">
        <x:f>C15*I15</x:f>
        <x:v>2733554.2709901957</x:v>
      </x:c>
      <x:c r="K15" s="365" t="n">
        <x:f>G15*I15</x:f>
        <x:v>0</x:v>
      </x:c>
      <x:c r="L15" s="377" t="n">
        <x:f>H15*I15</x:f>
        <x:v>-2733554.2709901957</x:v>
      </x:c>
      <x:c r="M15" s="377" t="n">
        <x:f>M14+H15</x:f>
        <x:v>-9755000</x:v>
      </x:c>
      <x:c r="N15" s="377" t="n">
        <x:f>N14+L15</x:f>
        <x:v>-9655131.93279052</x:v>
      </x:c>
      <x:c r="O15" s="364" t="n">
        <x:f>IF(AND(M15&gt;=0,M14&lt;0),A15,0)</x:f>
        <x:v>0</x:v>
      </x:c>
      <x:c r="P15" s="364" t="n">
        <x:f>IF(AND(N15&gt;=0,N14&lt;0),A15,0)</x:f>
        <x:v>0</x:v>
      </x:c>
      <x:c r="Q15" s="364" t="n">
        <x:f>0</x:f>
        <x:v>0</x:v>
      </x:c>
    </x:row>
    <x:row r="16">
      <x:c r="A16" s="364" t="n">
        <x:v>3</x:v>
      </x:c>
      <x:c r="B16" s="372" t="str">
        <x:f>'Денежный поток'!$B$13</x:f>
        <x:v>Разработка</x:v>
      </x:c>
      <x:c r="C16" s="373" t="n">
        <x:f>'Денежный поток'!$F$13</x:f>
        <x:v>2800000</x:v>
      </x:c>
      <x:c r="D16" s="365" t="n">
        <x:f>IF(A16&gt;'Допущения'!$C$12,'Сравнение'!$D$9/12,0)</x:f>
        <x:v>0</x:v>
      </x:c>
      <x:c r="E16" s="365" t="n">
        <x:f>IF(A16&gt;'Допущения'!$C$12,'Сравнение'!$D$13/12,0)</x:f>
        <x:v>0</x:v>
      </x:c>
      <x:c r="F16" s="365" t="n">
        <x:f>IF(A16&gt;'Допущения'!$C$12,'Сравнение'!$D$17/12,0)</x:f>
        <x:v>0</x:v>
      </x:c>
      <x:c r="G16" s="365" t="n">
        <x:f>SUM(D16:F16)</x:f>
        <x:v>0</x:v>
      </x:c>
      <x:c r="H16" s="365" t="n">
        <x:f>G16-C16</x:f>
        <x:v>-2800000</x:v>
      </x:c>
      <x:c r="I16" s="366" t="n">
        <x:f>1/(1+$B$7)^A16</x:f>
        <x:v>0.9646160948265746</x:v>
      </x:c>
      <x:c r="J16" s="365" t="n">
        <x:f>C16*I16</x:f>
        <x:v>2700925.065514409</x:v>
      </x:c>
      <x:c r="K16" s="365" t="n">
        <x:f>G16*I16</x:f>
        <x:v>0</x:v>
      </x:c>
      <x:c r="L16" s="377" t="n">
        <x:f>H16*I16</x:f>
        <x:v>-2700925.065514409</x:v>
      </x:c>
      <x:c r="M16" s="377" t="n">
        <x:f>M15+H16</x:f>
        <x:v>-12555000</x:v>
      </x:c>
      <x:c r="N16" s="377" t="n">
        <x:f>N15+L16</x:f>
        <x:v>-12356056.99830493</x:v>
      </x:c>
      <x:c r="O16" s="364" t="n">
        <x:f>IF(AND(M16&gt;=0,M15&lt;0),A16,0)</x:f>
        <x:v>0</x:v>
      </x:c>
      <x:c r="P16" s="364" t="n">
        <x:f>IF(AND(N16&gt;=0,N15&lt;0),A16,0)</x:f>
        <x:v>0</x:v>
      </x:c>
      <x:c r="Q16" s="364" t="n">
        <x:f>0</x:f>
        <x:v>0</x:v>
      </x:c>
    </x:row>
    <x:row r="17">
      <x:c r="A17" s="364" t="n">
        <x:v>4</x:v>
      </x:c>
      <x:c r="B17" s="372" t="str">
        <x:f>'Денежный поток'!$B$14</x:f>
        <x:v>Разработка</x:v>
      </x:c>
      <x:c r="C17" s="373" t="n">
        <x:f>'Денежный поток'!$F$14</x:f>
        <x:v>2800000</x:v>
      </x:c>
      <x:c r="D17" s="365" t="n">
        <x:f>IF(A17&gt;'Допущения'!$C$12,'Сравнение'!$D$9/12,0)</x:f>
        <x:v>0</x:v>
      </x:c>
      <x:c r="E17" s="365" t="n">
        <x:f>IF(A17&gt;'Допущения'!$C$12,'Сравнение'!$D$13/12,0)</x:f>
        <x:v>0</x:v>
      </x:c>
      <x:c r="F17" s="365" t="n">
        <x:f>IF(A17&gt;'Допущения'!$C$12,'Сравнение'!$D$17/12,0)</x:f>
        <x:v>0</x:v>
      </x:c>
      <x:c r="G17" s="365" t="n">
        <x:f>SUM(D17:F17)</x:f>
        <x:v>0</x:v>
      </x:c>
      <x:c r="H17" s="365" t="n">
        <x:f>G17-C17</x:f>
        <x:v>-2800000</x:v>
      </x:c>
      <x:c r="I17" s="366" t="n">
        <x:f>1/(1+$B$7)^A17</x:f>
        <x:v>0.9531019072000946</x:v>
      </x:c>
      <x:c r="J17" s="365" t="n">
        <x:f>C17*I17</x:f>
        <x:v>2668685.3401602646</x:v>
      </x:c>
      <x:c r="K17" s="365" t="n">
        <x:f>G17*I17</x:f>
        <x:v>0</x:v>
      </x:c>
      <x:c r="L17" s="377" t="n">
        <x:f>H17*I17</x:f>
        <x:v>-2668685.3401602646</x:v>
      </x:c>
      <x:c r="M17" s="377" t="n">
        <x:f>M16+H17</x:f>
        <x:v>-15355000</x:v>
      </x:c>
      <x:c r="N17" s="377" t="n">
        <x:f>N16+L17</x:f>
        <x:v>-15024742.338465195</x:v>
      </x:c>
      <x:c r="O17" s="364" t="n">
        <x:f>IF(AND(M17&gt;=0,M16&lt;0),A17,0)</x:f>
        <x:v>0</x:v>
      </x:c>
      <x:c r="P17" s="364" t="n">
        <x:f>IF(AND(N17&gt;=0,N16&lt;0),A17,0)</x:f>
        <x:v>0</x:v>
      </x:c>
      <x:c r="Q17" s="364" t="n">
        <x:f>0</x:f>
        <x:v>0</x:v>
      </x:c>
    </x:row>
    <x:row r="18">
      <x:c r="A18" s="364" t="n">
        <x:v>5</x:v>
      </x:c>
      <x:c r="B18" s="372" t="str">
        <x:f>'Денежный поток'!$B$15</x:f>
        <x:v>Разработка</x:v>
      </x:c>
      <x:c r="C18" s="373" t="n">
        <x:f>'Денежный поток'!$F$15</x:f>
        <x:v>2800000</x:v>
      </x:c>
      <x:c r="D18" s="365" t="n">
        <x:f>IF(A18&gt;'Допущения'!$C$12,'Сравнение'!$D$9/12,0)</x:f>
        <x:v>0</x:v>
      </x:c>
      <x:c r="E18" s="365" t="n">
        <x:f>IF(A18&gt;'Допущения'!$C$12,'Сравнение'!$D$13/12,0)</x:f>
        <x:v>0</x:v>
      </x:c>
      <x:c r="F18" s="365" t="n">
        <x:f>IF(A18&gt;'Допущения'!$C$12,'Сравнение'!$D$17/12,0)</x:f>
        <x:v>0</x:v>
      </x:c>
      <x:c r="G18" s="365" t="n">
        <x:f>SUM(D18:F18)</x:f>
        <x:v>0</x:v>
      </x:c>
      <x:c r="H18" s="365" t="n">
        <x:f>G18-C18</x:f>
        <x:v>-2800000</x:v>
      </x:c>
      <x:c r="I18" s="366" t="n">
        <x:f>1/(1+$B$7)^A18</x:f>
        <x:v>0.9417251592425239</x:v>
      </x:c>
      <x:c r="J18" s="365" t="n">
        <x:f>C18*I18</x:f>
        <x:v>2636830.445879067</x:v>
      </x:c>
      <x:c r="K18" s="365" t="n">
        <x:f>G18*I18</x:f>
        <x:v>0</x:v>
      </x:c>
      <x:c r="L18" s="377" t="n">
        <x:f>H18*I18</x:f>
        <x:v>-2636830.445879067</x:v>
      </x:c>
      <x:c r="M18" s="377" t="n">
        <x:f>M17+H18</x:f>
        <x:v>-18155000</x:v>
      </x:c>
      <x:c r="N18" s="377" t="n">
        <x:f>N17+L18</x:f>
        <x:v>-17661572.784344263</x:v>
      </x:c>
      <x:c r="O18" s="364" t="n">
        <x:f>IF(AND(M18&gt;=0,M17&lt;0),A18,0)</x:f>
        <x:v>0</x:v>
      </x:c>
      <x:c r="P18" s="364" t="n">
        <x:f>IF(AND(N18&gt;=0,N17&lt;0),A18,0)</x:f>
        <x:v>0</x:v>
      </x:c>
      <x:c r="Q18" s="364" t="n">
        <x:f>0</x:f>
        <x:v>0</x:v>
      </x:c>
    </x:row>
    <x:row r="19">
      <x:c r="A19" s="379" t="n">
        <x:v>6</x:v>
      </x:c>
      <x:c r="B19" s="380" t="str">
        <x:f>'Денежный поток'!$B$16</x:f>
        <x:v>Разработка</x:v>
      </x:c>
      <x:c r="C19" s="381" t="n">
        <x:f>'Денежный поток'!$F$16</x:f>
        <x:v>2800000</x:v>
      </x:c>
      <x:c r="D19" s="382" t="n">
        <x:f>IF(A19&gt;'Допущения'!$C$12,'Сравнение'!$D$9/12,0)</x:f>
        <x:v>0</x:v>
      </x:c>
      <x:c r="E19" s="382" t="n">
        <x:f>IF(A19&gt;'Допущения'!$C$12,'Сравнение'!$D$13/12,0)</x:f>
        <x:v>0</x:v>
      </x:c>
      <x:c r="F19" s="382" t="n">
        <x:f>IF(A19&gt;'Допущения'!$C$12,'Сравнение'!$D$17/12,0)</x:f>
        <x:v>0</x:v>
      </x:c>
      <x:c r="G19" s="382" t="n">
        <x:f>SUM(D19:F19)</x:f>
        <x:v>0</x:v>
      </x:c>
      <x:c r="H19" s="382" t="n">
        <x:f>G19-C19</x:f>
        <x:v>-2800000</x:v>
      </x:c>
      <x:c r="I19" s="383" t="n">
        <x:f>1/(1+$B$7)^A19</x:f>
        <x:v>0.9304842103984714</x:v>
      </x:c>
      <x:c r="J19" s="382" t="n">
        <x:f>C19*I19</x:f>
        <x:v>2605355.78911572</x:v>
      </x:c>
      <x:c r="K19" s="382" t="n">
        <x:f>G19*I19</x:f>
        <x:v>0</x:v>
      </x:c>
      <x:c r="L19" s="382" t="n">
        <x:f>H19*I19</x:f>
        <x:v>-2605355.78911572</x:v>
      </x:c>
      <x:c r="M19" s="382" t="n">
        <x:f>M18+H19</x:f>
        <x:v>-20955000</x:v>
      </x:c>
      <x:c r="N19" s="382" t="n">
        <x:f>N18+L19</x:f>
        <x:v>-20266928.573459983</x:v>
      </x:c>
      <x:c r="O19" s="379" t="n">
        <x:f>IF(AND(M19&gt;=0,M18&lt;0),A19,0)</x:f>
        <x:v>0</x:v>
      </x:c>
      <x:c r="P19" s="379" t="n">
        <x:f>IF(AND(N19&gt;=0,N18&lt;0),A19,0)</x:f>
        <x:v>0</x:v>
      </x:c>
      <x:c r="Q19" s="379" t="n">
        <x:f>0</x:f>
        <x:v>0</x:v>
      </x:c>
    </x:row>
    <x:row r="20">
      <x:c r="A20" s="364" t="n">
        <x:v>7</x:v>
      </x:c>
      <x:c r="B20" s="372" t="str">
        <x:f>'Денежный поток'!$B$17</x:f>
        <x:v>Эксплуатация</x:v>
      </x:c>
      <x:c r="C20" s="373" t="n">
        <x:f>'Денежный поток'!$F$17</x:f>
        <x:v>125833.33333333333</x:v>
      </x:c>
      <x:c r="D20" s="365" t="n">
        <x:f>IF(A20&gt;'Допущения'!$C$12,'Сравнение'!$D$9/12,0)</x:f>
        <x:v>1752000</x:v>
      </x:c>
      <x:c r="E20" s="365" t="n">
        <x:f>IF(A20&gt;'Допущения'!$C$12,'Сравнение'!$D$13/12,0)</x:f>
        <x:v>571428.5714285715</x:v>
      </x:c>
      <x:c r="F20" s="365" t="n">
        <x:f>IF(A20&gt;'Допущения'!$C$12,'Сравнение'!$D$17/12,0)</x:f>
        <x:v>37333.333333333336</x:v>
      </x:c>
      <x:c r="G20" s="365" t="n">
        <x:f>SUM(D20:F20)</x:f>
        <x:v>2360761.904761905</x:v>
      </x:c>
      <x:c r="H20" s="365" t="n">
        <x:f>G20-C20</x:f>
        <x:v>2234928.5714285714</x:v>
      </x:c>
      <x:c r="I20" s="366" t="n">
        <x:f>1/(1+$B$7)^A20</x:f>
        <x:v>0.9193774396951155</x:v>
      </x:c>
      <x:c r="J20" s="365" t="n">
        <x:f>C20*I20</x:f>
        <x:v>115688.32782830203</x:v>
      </x:c>
      <x:c r="K20" s="365" t="n">
        <x:f>G20*I20</x:f>
        <x:v>2170431.235729764</x:v>
      </x:c>
      <x:c r="L20" s="377" t="n">
        <x:f>H20*I20</x:f>
        <x:v>2054742.9079014622</x:v>
      </x:c>
      <x:c r="M20" s="377" t="n">
        <x:f>M19+H20</x:f>
        <x:v>-18720071.42857143</x:v>
      </x:c>
      <x:c r="N20" s="377" t="n">
        <x:f>N19+L20</x:f>
        <x:v>-18212185.66555852</x:v>
      </x:c>
      <x:c r="O20" s="364" t="n">
        <x:f>IF(AND(M20&gt;=0,M19&lt;0),A20,0)</x:f>
        <x:v>0</x:v>
      </x:c>
      <x:c r="P20" s="364" t="n">
        <x:f>IF(AND(N20&gt;=0,N19&lt;0),A20,0)</x:f>
        <x:v>0</x:v>
      </x:c>
      <x:c r="Q20" s="364" t="n">
        <x:f>0</x:f>
        <x:v>0</x:v>
      </x:c>
    </x:row>
    <x:row r="21">
      <x:c r="A21" s="364" t="n">
        <x:v>8</x:v>
      </x:c>
      <x:c r="B21" s="372" t="str">
        <x:f>'Денежный поток'!$B$18</x:f>
        <x:v>Эксплуатация</x:v>
      </x:c>
      <x:c r="C21" s="373" t="n">
        <x:f>'Денежный поток'!$F$18</x:f>
        <x:v>125833.33333333333</x:v>
      </x:c>
      <x:c r="D21" s="365" t="n">
        <x:f>IF(A21&gt;'Допущения'!$C$12,'Сравнение'!$D$9/12,0)</x:f>
        <x:v>1752000</x:v>
      </x:c>
      <x:c r="E21" s="365" t="n">
        <x:f>IF(A21&gt;'Допущения'!$C$12,'Сравнение'!$D$13/12,0)</x:f>
        <x:v>571428.5714285715</x:v>
      </x:c>
      <x:c r="F21" s="365" t="n">
        <x:f>IF(A21&gt;'Допущения'!$C$12,'Сравнение'!$D$17/12,0)</x:f>
        <x:v>37333.333333333336</x:v>
      </x:c>
      <x:c r="G21" s="365" t="n">
        <x:f>SUM(D21:F21)</x:f>
        <x:v>2360761.904761905</x:v>
      </x:c>
      <x:c r="H21" s="365" t="n">
        <x:f>G21-C21</x:f>
        <x:v>2234928.5714285714</x:v>
      </x:c>
      <x:c r="I21" s="366" t="n">
        <x:f>1/(1+$B$7)^A21</x:f>
        <x:v>0.9084032455084576</x:v>
      </x:c>
      <x:c r="J21" s="365" t="n">
        <x:f>C21*I21</x:f>
        <x:v>114307.40839314758</x:v>
      </x:c>
      <x:c r="K21" s="365" t="n">
        <x:f>G21*I21</x:f>
        <x:v>2144523.7761584427</x:v>
      </x:c>
      <x:c r="L21" s="377" t="n">
        <x:f>H21*I21</x:f>
        <x:v>2030216.367765295</x:v>
      </x:c>
      <x:c r="M21" s="377" t="n">
        <x:f>M20+H21</x:f>
        <x:v>-16485142.857142858</x:v>
      </x:c>
      <x:c r="N21" s="377" t="n">
        <x:f>N20+L21</x:f>
        <x:v>-16181969.297793226</x:v>
      </x:c>
      <x:c r="O21" s="364" t="n">
        <x:f>IF(AND(M21&gt;=0,M20&lt;0),A21,0)</x:f>
        <x:v>0</x:v>
      </x:c>
      <x:c r="P21" s="364" t="n">
        <x:f>IF(AND(N21&gt;=0,N20&lt;0),A21,0)</x:f>
        <x:v>0</x:v>
      </x:c>
      <x:c r="Q21" s="364" t="n">
        <x:f>0</x:f>
        <x:v>0</x:v>
      </x:c>
    </x:row>
    <x:row r="22">
      <x:c r="A22" s="364" t="n">
        <x:v>9</x:v>
      </x:c>
      <x:c r="B22" s="372" t="str">
        <x:f>'Денежный поток'!$B$19</x:f>
        <x:v>Эксплуатация</x:v>
      </x:c>
      <x:c r="C22" s="373" t="n">
        <x:f>'Денежный поток'!$F$19</x:f>
        <x:v>125833.33333333333</x:v>
      </x:c>
      <x:c r="D22" s="365" t="n">
        <x:f>IF(A22&gt;'Допущения'!$C$12,'Сравнение'!$D$9/12,0)</x:f>
        <x:v>1752000</x:v>
      </x:c>
      <x:c r="E22" s="365" t="n">
        <x:f>IF(A22&gt;'Допущения'!$C$12,'Сравнение'!$D$13/12,0)</x:f>
        <x:v>571428.5714285715</x:v>
      </x:c>
      <x:c r="F22" s="365" t="n">
        <x:f>IF(A22&gt;'Допущения'!$C$12,'Сравнение'!$D$17/12,0)</x:f>
        <x:v>37333.333333333336</x:v>
      </x:c>
      <x:c r="G22" s="365" t="n">
        <x:f>SUM(D22:F22)</x:f>
        <x:v>2360761.904761905</x:v>
      </x:c>
      <x:c r="H22" s="365" t="n">
        <x:f>G22-C22</x:f>
        <x:v>2234928.5714285714</x:v>
      </x:c>
      <x:c r="I22" s="366" t="n">
        <x:f>1/(1+$B$7)^A22</x:f>
        <x:v>0.8975600453323623</x:v>
      </x:c>
      <x:c r="J22" s="365" t="n">
        <x:f>C22*I22</x:f>
        <x:v>112942.97237098892</x:v>
      </x:c>
      <x:c r="K22" s="365" t="n">
        <x:f>G22*I22</x:f>
        <x:v>2118925.5622570096</x:v>
      </x:c>
      <x:c r="L22" s="377" t="n">
        <x:f>H22*I22</x:f>
        <x:v>2005982.5898860204</x:v>
      </x:c>
      <x:c r="M22" s="377" t="n">
        <x:f>M21+H22</x:f>
        <x:v>-14250214.285714287</x:v>
      </x:c>
      <x:c r="N22" s="377" t="n">
        <x:f>N21+L22</x:f>
        <x:v>-14175986.707907205</x:v>
      </x:c>
      <x:c r="O22" s="364" t="n">
        <x:f>IF(AND(M22&gt;=0,M21&lt;0),A22,0)</x:f>
        <x:v>0</x:v>
      </x:c>
      <x:c r="P22" s="364" t="n">
        <x:f>IF(AND(N22&gt;=0,N21&lt;0),A22,0)</x:f>
        <x:v>0</x:v>
      </x:c>
      <x:c r="Q22" s="364" t="n">
        <x:f>0</x:f>
        <x:v>0</x:v>
      </x:c>
    </x:row>
    <x:row r="23">
      <x:c r="A23" s="364" t="n">
        <x:v>10</x:v>
      </x:c>
      <x:c r="B23" s="372" t="str">
        <x:f>'Денежный поток'!$B$20</x:f>
        <x:v>Эксплуатация</x:v>
      </x:c>
      <x:c r="C23" s="373" t="n">
        <x:f>'Денежный поток'!$F$20</x:f>
        <x:v>125833.33333333333</x:v>
      </x:c>
      <x:c r="D23" s="365" t="n">
        <x:f>IF(A23&gt;'Допущения'!$C$12,'Сравнение'!$D$9/12,0)</x:f>
        <x:v>1752000</x:v>
      </x:c>
      <x:c r="E23" s="365" t="n">
        <x:f>IF(A23&gt;'Допущения'!$C$12,'Сравнение'!$D$13/12,0)</x:f>
        <x:v>571428.5714285715</x:v>
      </x:c>
      <x:c r="F23" s="365" t="n">
        <x:f>IF(A23&gt;'Допущения'!$C$12,'Сравнение'!$D$17/12,0)</x:f>
        <x:v>37333.333333333336</x:v>
      </x:c>
      <x:c r="G23" s="365" t="n">
        <x:f>SUM(D23:F23)</x:f>
        <x:v>2360761.904761905</x:v>
      </x:c>
      <x:c r="H23" s="365" t="n">
        <x:f>G23-C23</x:f>
        <x:v>2234928.5714285714</x:v>
      </x:c>
      <x:c r="I23" s="366" t="n">
        <x:f>1/(1+$B$7)^A23</x:f>
        <x:v>0.8868462755503571</x:v>
      </x:c>
      <x:c r="J23" s="365" t="n">
        <x:f>C23*I23</x:f>
        <x:v>111594.82300675327</x:v>
      </x:c>
      <x:c r="K23" s="365" t="n">
        <x:f>G23*I23</x:f>
        <x:v>2093632.9026992621</x:v>
      </x:c>
      <x:c r="L23" s="377" t="n">
        <x:f>H23*I23</x:f>
        <x:v>1982038.0796925088</x:v>
      </x:c>
      <x:c r="M23" s="377" t="n">
        <x:f>M22+H23</x:f>
        <x:v>-12015285.714285716</x:v>
      </x:c>
      <x:c r="N23" s="377" t="n">
        <x:f>N22+L23</x:f>
        <x:v>-12193948.628214696</x:v>
      </x:c>
      <x:c r="O23" s="364" t="n">
        <x:f>IF(AND(M23&gt;=0,M22&lt;0),A23,0)</x:f>
        <x:v>0</x:v>
      </x:c>
      <x:c r="P23" s="364" t="n">
        <x:f>IF(AND(N23&gt;=0,N22&lt;0),A23,0)</x:f>
        <x:v>0</x:v>
      </x:c>
      <x:c r="Q23" s="364" t="n">
        <x:f>0</x:f>
        <x:v>0</x:v>
      </x:c>
    </x:row>
    <x:row r="24">
      <x:c r="A24" s="364" t="n">
        <x:v>11</x:v>
      </x:c>
      <x:c r="B24" s="372" t="str">
        <x:f>'Денежный поток'!$B$21</x:f>
        <x:v>Эксплуатация</x:v>
      </x:c>
      <x:c r="C24" s="373" t="n">
        <x:f>'Денежный поток'!$F$21</x:f>
        <x:v>125833.33333333333</x:v>
      </x:c>
      <x:c r="D24" s="365" t="n">
        <x:f>IF(A24&gt;'Допущения'!$C$12,'Сравнение'!$D$9/12,0)</x:f>
        <x:v>1752000</x:v>
      </x:c>
      <x:c r="E24" s="365" t="n">
        <x:f>IF(A24&gt;'Допущения'!$C$12,'Сравнение'!$D$13/12,0)</x:f>
        <x:v>571428.5714285715</x:v>
      </x:c>
      <x:c r="F24" s="365" t="n">
        <x:f>IF(A24&gt;'Допущения'!$C$12,'Сравнение'!$D$17/12,0)</x:f>
        <x:v>37333.333333333336</x:v>
      </x:c>
      <x:c r="G24" s="365" t="n">
        <x:f>SUM(D24:F24)</x:f>
        <x:v>2360761.904761905</x:v>
      </x:c>
      <x:c r="H24" s="365" t="n">
        <x:f>G24-C24</x:f>
        <x:v>2234928.5714285714</x:v>
      </x:c>
      <x:c r="I24" s="366" t="n">
        <x:f>1/(1+$B$7)^A24</x:f>
        <x:v>0.8762603912101546</x:v>
      </x:c>
      <x:c r="J24" s="365" t="n">
        <x:f>C24*I24</x:f>
        <x:v>110262.76589394445</x:v>
      </x:c>
      <x:c r="K24" s="365" t="n">
        <x:f>G24*I24</x:f>
        <x:v>2068642.1502206966</x:v>
      </x:c>
      <x:c r="L24" s="377" t="n">
        <x:f>H24*I24</x:f>
        <x:v>1958379.384326752</x:v>
      </x:c>
      <x:c r="M24" s="377" t="n">
        <x:f>M23+H24</x:f>
        <x:v>-9780357.142857146</x:v>
      </x:c>
      <x:c r="N24" s="377" t="n">
        <x:f>N23+L24</x:f>
        <x:v>-10235569.243887944</x:v>
      </x:c>
      <x:c r="O24" s="364" t="n">
        <x:f>IF(AND(M24&gt;=0,M23&lt;0),A24,0)</x:f>
        <x:v>0</x:v>
      </x:c>
      <x:c r="P24" s="364" t="n">
        <x:f>IF(AND(N24&gt;=0,N23&lt;0),A24,0)</x:f>
        <x:v>0</x:v>
      </x:c>
      <x:c r="Q24" s="364" t="n">
        <x:f>0</x:f>
        <x:v>0</x:v>
      </x:c>
    </x:row>
    <x:row r="25">
      <x:c r="A25" s="364" t="n">
        <x:v>12</x:v>
      </x:c>
      <x:c r="B25" s="372" t="str">
        <x:f>'Денежный поток'!$B$22</x:f>
        <x:v>Эксплуатация</x:v>
      </x:c>
      <x:c r="C25" s="373" t="n">
        <x:f>'Денежный поток'!$F$22</x:f>
        <x:v>125833.33333333333</x:v>
      </x:c>
      <x:c r="D25" s="365" t="n">
        <x:f>IF(A25&gt;'Допущения'!$C$12,'Сравнение'!$D$9/12,0)</x:f>
        <x:v>1752000</x:v>
      </x:c>
      <x:c r="E25" s="365" t="n">
        <x:f>IF(A25&gt;'Допущения'!$C$12,'Сравнение'!$D$13/12,0)</x:f>
        <x:v>571428.5714285715</x:v>
      </x:c>
      <x:c r="F25" s="365" t="n">
        <x:f>IF(A25&gt;'Допущения'!$C$12,'Сравнение'!$D$17/12,0)</x:f>
        <x:v>37333.333333333336</x:v>
      </x:c>
      <x:c r="G25" s="365" t="n">
        <x:f>SUM(D25:F25)</x:f>
        <x:v>2360761.904761905</x:v>
      </x:c>
      <x:c r="H25" s="365" t="n">
        <x:f>G25-C25</x:f>
        <x:v>2234928.5714285714</x:v>
      </x:c>
      <x:c r="I25" s="366" t="n">
        <x:f>1/(1+$B$7)^A25</x:f>
        <x:v>0.8658008658008668</x:v>
      </x:c>
      <x:c r="J25" s="365" t="n">
        <x:f>C25*I25</x:f>
        <x:v>108946.60894660906</x:v>
      </x:c>
      <x:c r="K25" s="365" t="n">
        <x:f>G25*I25</x:f>
        <x:v>2043949.7010925605</x:v>
      </x:c>
      <x:c r="L25" s="377" t="n">
        <x:f>H25*I25</x:f>
        <x:v>1935003.0921459515</x:v>
      </x:c>
      <x:c r="M25" s="377" t="n">
        <x:f>M24+H25</x:f>
        <x:v>-7545428.571428575</x:v>
      </x:c>
      <x:c r="N25" s="377" t="n">
        <x:f>N24+L25</x:f>
        <x:v>-8300566.151741993</x:v>
      </x:c>
      <x:c r="O25" s="364" t="n">
        <x:f>IF(AND(M25&gt;=0,M24&lt;0),A25,0)</x:f>
        <x:v>0</x:v>
      </x:c>
      <x:c r="P25" s="364" t="n">
        <x:f>IF(AND(N25&gt;=0,N24&lt;0),A25,0)</x:f>
        <x:v>0</x:v>
      </x:c>
      <x:c r="Q25" s="364" t="n">
        <x:f>0</x:f>
        <x:v>0</x:v>
      </x:c>
    </x:row>
    <x:row r="26">
      <x:c r="A26" s="364" t="n">
        <x:v>13</x:v>
      </x:c>
      <x:c r="B26" s="372" t="str">
        <x:f>'Денежный поток'!$B$23</x:f>
        <x:v>Эксплуатация</x:v>
      </x:c>
      <x:c r="C26" s="373" t="n">
        <x:f>'Денежный поток'!$F$23</x:f>
        <x:v>125833.33333333333</x:v>
      </x:c>
      <x:c r="D26" s="365" t="n">
        <x:f>IF(A26&gt;'Допущения'!$C$12,'Сравнение'!$D$9/12,0)</x:f>
        <x:v>1752000</x:v>
      </x:c>
      <x:c r="E26" s="365" t="n">
        <x:f>IF(A26&gt;'Допущения'!$C$12,'Сравнение'!$D$13/12,0)</x:f>
        <x:v>571428.5714285715</x:v>
      </x:c>
      <x:c r="F26" s="365" t="n">
        <x:f>IF(A26&gt;'Допущения'!$C$12,'Сравнение'!$D$17/12,0)</x:f>
        <x:v>37333.333333333336</x:v>
      </x:c>
      <x:c r="G26" s="365" t="n">
        <x:f>SUM(D26:F26)</x:f>
        <x:v>2360761.904761905</x:v>
      </x:c>
      <x:c r="H26" s="365" t="n">
        <x:f>G26-C26</x:f>
        <x:v>2234928.5714285714</x:v>
      </x:c>
      <x:c r="I26" s="366" t="n">
        <x:f>1/(1+$B$7)^A26</x:f>
        <x:v>0.8554661910328779</x:v>
      </x:c>
      <x:c r="J26" s="365" t="n">
        <x:f>C26*I26</x:f>
        <x:v>107646.16237163714</x:v>
      </x:c>
      <x:c r="K26" s="365" t="n">
        <x:f>G26*I26</x:f>
        <x:v>2019551.9946021885</x:v>
      </x:c>
      <x:c r="L26" s="377" t="n">
        <x:f>H26*I26</x:f>
        <x:v>1911905.8322305512</x:v>
      </x:c>
      <x:c r="M26" s="377" t="n">
        <x:f>M25+H26</x:f>
        <x:v>-5310500.000000004</x:v>
      </x:c>
      <x:c r="N26" s="377" t="n">
        <x:f>N25+L26</x:f>
        <x:v>-6388660.3195114415</x:v>
      </x:c>
      <x:c r="O26" s="364" t="n">
        <x:f>IF(AND(M26&gt;=0,M25&lt;0),A26,0)</x:f>
        <x:v>0</x:v>
      </x:c>
      <x:c r="P26" s="364" t="n">
        <x:f>IF(AND(N26&gt;=0,N25&lt;0),A26,0)</x:f>
        <x:v>0</x:v>
      </x:c>
      <x:c r="Q26" s="364" t="n">
        <x:f>0</x:f>
        <x:v>0</x:v>
      </x:c>
    </x:row>
    <x:row r="27">
      <x:c r="A27" s="364" t="n">
        <x:v>14</x:v>
      </x:c>
      <x:c r="B27" s="372" t="str">
        <x:f>'Денежный поток'!$B$24</x:f>
        <x:v>Эксплуатация</x:v>
      </x:c>
      <x:c r="C27" s="373" t="n">
        <x:f>'Денежный поток'!$F$24</x:f>
        <x:v>125833.33333333333</x:v>
      </x:c>
      <x:c r="D27" s="365" t="n">
        <x:f>IF(A27&gt;'Допущения'!$C$12,'Сравнение'!$D$9/12,0)</x:f>
        <x:v>1752000</x:v>
      </x:c>
      <x:c r="E27" s="365" t="n">
        <x:f>IF(A27&gt;'Допущения'!$C$12,'Сравнение'!$D$13/12,0)</x:f>
        <x:v>571428.5714285715</x:v>
      </x:c>
      <x:c r="F27" s="365" t="n">
        <x:f>IF(A27&gt;'Допущения'!$C$12,'Сравнение'!$D$17/12,0)</x:f>
        <x:v>37333.333333333336</x:v>
      </x:c>
      <x:c r="G27" s="365" t="n">
        <x:f>SUM(D27:F27)</x:f>
        <x:v>2360761.904761905</x:v>
      </x:c>
      <x:c r="H27" s="365" t="n">
        <x:f>G27-C27</x:f>
        <x:v>2234928.5714285714</x:v>
      </x:c>
      <x:c r="I27" s="366" t="n">
        <x:f>1/(1+$B$7)^A27</x:f>
        <x:v>0.8452548766203459</x:v>
      </x:c>
      <x:c r="J27" s="365" t="n">
        <x:f>C27*I27</x:f>
        <x:v>106361.23864139353</x:v>
      </x:c>
      <x:c r="K27" s="365" t="n">
        <x:f>G27*I27</x:f>
        <x:v>1995445.5125395367</x:v>
      </x:c>
      <x:c r="L27" s="377" t="n">
        <x:f>H27*I27</x:f>
        <x:v>1889084.273898143</x:v>
      </x:c>
      <x:c r="M27" s="377" t="n">
        <x:f>M26+H27</x:f>
        <x:v>-3075571.4285714324</x:v>
      </x:c>
      <x:c r="N27" s="377" t="n">
        <x:f>N26+L27</x:f>
        <x:v>-4499576.045613298</x:v>
      </x:c>
      <x:c r="O27" s="364" t="n">
        <x:f>IF(AND(M27&gt;=0,M26&lt;0),A27,0)</x:f>
        <x:v>0</x:v>
      </x:c>
      <x:c r="P27" s="364" t="n">
        <x:f>IF(AND(N27&gt;=0,N26&lt;0),A27,0)</x:f>
        <x:v>0</x:v>
      </x:c>
      <x:c r="Q27" s="364" t="n">
        <x:f>0</x:f>
        <x:v>0</x:v>
      </x:c>
    </x:row>
    <x:row r="28">
      <x:c r="A28" s="364" t="n">
        <x:v>15</x:v>
      </x:c>
      <x:c r="B28" s="372" t="str">
        <x:f>'Денежный поток'!$B$25</x:f>
        <x:v>Эксплуатация</x:v>
      </x:c>
      <x:c r="C28" s="373" t="n">
        <x:f>'Денежный поток'!$F$25</x:f>
        <x:v>125833.33333333333</x:v>
      </x:c>
      <x:c r="D28" s="365" t="n">
        <x:f>IF(A28&gt;'Допущения'!$C$12,'Сравнение'!$D$9/12,0)</x:f>
        <x:v>1752000</x:v>
      </x:c>
      <x:c r="E28" s="365" t="n">
        <x:f>IF(A28&gt;'Допущения'!$C$12,'Сравнение'!$D$13/12,0)</x:f>
        <x:v>571428.5714285715</x:v>
      </x:c>
      <x:c r="F28" s="365" t="n">
        <x:f>IF(A28&gt;'Допущения'!$C$12,'Сравнение'!$D$17/12,0)</x:f>
        <x:v>37333.333333333336</x:v>
      </x:c>
      <x:c r="G28" s="365" t="n">
        <x:f>SUM(D28:F28)</x:f>
        <x:v>2360761.904761905</x:v>
      </x:c>
      <x:c r="H28" s="365" t="n">
        <x:f>G28-C28</x:f>
        <x:v>2234928.5714285714</x:v>
      </x:c>
      <x:c r="I28" s="366" t="n">
        <x:f>1/(1+$B$7)^A28</x:f>
        <x:v>0.8351654500662994</x:v>
      </x:c>
      <x:c r="J28" s="365" t="n">
        <x:f>C28*I28</x:f>
        <x:v>105091.65246667601</x:v>
      </x:c>
      <x:c r="K28" s="365" t="n">
        <x:f>G28*I28</x:f>
        <x:v>1971626.7786898506</x:v>
      </x:c>
      <x:c r="L28" s="377" t="n">
        <x:f>H28*I28</x:f>
        <x:v>1866535.1262231744</x:v>
      </x:c>
      <x:c r="M28" s="377" t="n">
        <x:f>M27+H28</x:f>
        <x:v>-840642.857142861</x:v>
      </x:c>
      <x:c r="N28" s="377" t="n">
        <x:f>N27+L28</x:f>
        <x:v>-2633040.919390124</x:v>
      </x:c>
      <x:c r="O28" s="364" t="n">
        <x:f>IF(AND(M28&gt;=0,M27&lt;0),A28,0)</x:f>
        <x:v>0</x:v>
      </x:c>
      <x:c r="P28" s="364" t="n">
        <x:f>IF(AND(N28&gt;=0,N27&lt;0),A28,0)</x:f>
        <x:v>0</x:v>
      </x:c>
      <x:c r="Q28" s="364" t="n">
        <x:f>0</x:f>
        <x:v>0</x:v>
      </x:c>
    </x:row>
    <x:row r="29">
      <x:c r="A29" s="364" t="n">
        <x:v>16</x:v>
      </x:c>
      <x:c r="B29" s="372" t="str">
        <x:f>'Денежный поток'!$B$26</x:f>
        <x:v>Эксплуатация</x:v>
      </x:c>
      <x:c r="C29" s="373" t="n">
        <x:f>'Денежный поток'!$F$26</x:f>
        <x:v>125833.33333333333</x:v>
      </x:c>
      <x:c r="D29" s="365" t="n">
        <x:f>IF(A29&gt;'Допущения'!$C$12,'Сравнение'!$D$9/12,0)</x:f>
        <x:v>1752000</x:v>
      </x:c>
      <x:c r="E29" s="365" t="n">
        <x:f>IF(A29&gt;'Допущения'!$C$12,'Сравнение'!$D$13/12,0)</x:f>
        <x:v>571428.5714285715</x:v>
      </x:c>
      <x:c r="F29" s="365" t="n">
        <x:f>IF(A29&gt;'Допущения'!$C$12,'Сравнение'!$D$17/12,0)</x:f>
        <x:v>37333.333333333336</x:v>
      </x:c>
      <x:c r="G29" s="365" t="n">
        <x:f>SUM(D29:F29)</x:f>
        <x:v>2360761.904761905</x:v>
      </x:c>
      <x:c r="H29" s="365" t="n">
        <x:f>G29-C29</x:f>
        <x:v>2234928.5714285714</x:v>
      </x:c>
      <x:c r="I29" s="366" t="n">
        <x:f>1/(1+$B$7)^A29</x:f>
        <x:v>0.8251964564502992</x:v>
      </x:c>
      <x:c r="J29" s="365" t="n">
        <x:f>C29*I29</x:f>
        <x:v>103837.22076999597</x:v>
      </x:c>
      <x:c r="K29" s="365" t="n">
        <x:f>G29*I29</x:f>
        <x:v>1948092.3583323825</x:v>
      </x:c>
      <x:c r="L29" s="377" t="n">
        <x:f>H29*I29</x:f>
        <x:v>1844255.1375623865</x:v>
      </x:c>
      <x:c r="M29" s="377" t="n">
        <x:f>M28+H29</x:f>
        <x:v>1394285.7142857104</x:v>
      </x:c>
      <x:c r="N29" s="377" t="n">
        <x:f>N28+L29</x:f>
        <x:v>-788785.7818277373</x:v>
      </x:c>
      <x:c r="O29" s="364" t="n">
        <x:f>IF(AND(M29&gt;=0,M28&lt;0),A29,0)</x:f>
        <x:v>16</x:v>
      </x:c>
      <x:c r="P29" s="364" t="n">
        <x:f>IF(AND(N29&gt;=0,N28&lt;0),A29,0)</x:f>
        <x:v>0</x:v>
      </x:c>
      <x:c r="Q29" s="364" t="n">
        <x:f>0</x:f>
        <x:v>0</x:v>
      </x:c>
    </x:row>
    <x:row r="30">
      <x:c r="A30" s="364" t="n">
        <x:v>17</x:v>
      </x:c>
      <x:c r="B30" s="372" t="str">
        <x:f>'Денежный поток'!$B$27</x:f>
        <x:v>Эксплуатация</x:v>
      </x:c>
      <x:c r="C30" s="373" t="n">
        <x:f>'Денежный поток'!$F$27</x:f>
        <x:v>125833.33333333333</x:v>
      </x:c>
      <x:c r="D30" s="365" t="n">
        <x:f>IF(A30&gt;'Допущения'!$C$12,'Сравнение'!$D$9/12,0)</x:f>
        <x:v>1752000</x:v>
      </x:c>
      <x:c r="E30" s="365" t="n">
        <x:f>IF(A30&gt;'Допущения'!$C$12,'Сравнение'!$D$13/12,0)</x:f>
        <x:v>571428.5714285715</x:v>
      </x:c>
      <x:c r="F30" s="365" t="n">
        <x:f>IF(A30&gt;'Допущения'!$C$12,'Сравнение'!$D$17/12,0)</x:f>
        <x:v>37333.333333333336</x:v>
      </x:c>
      <x:c r="G30" s="365" t="n">
        <x:f>SUM(D30:F30)</x:f>
        <x:v>2360761.904761905</x:v>
      </x:c>
      <x:c r="H30" s="365" t="n">
        <x:f>G30-C30</x:f>
        <x:v>2234928.5714285714</x:v>
      </x:c>
      <x:c r="I30" s="366" t="n">
        <x:f>1/(1+$B$7)^A30</x:f>
        <x:v>0.8153464582186364</x:v>
      </x:c>
      <x:c r="J30" s="365" t="n">
        <x:f>C30*I30</x:f>
        <x:v>102597.7626591784</x:v>
      </x:c>
      <x:c r="K30" s="365" t="n">
        <x:f>G30*I30</x:f>
        <x:v>1924838.857745101</x:v>
      </x:c>
      <x:c r="L30" s="377" t="n">
        <x:f>H30*I30</x:f>
        <x:v>1822241.0950859224</x:v>
      </x:c>
      <x:c r="M30" s="377" t="n">
        <x:f>M29+H30</x:f>
        <x:v>3629214.2857142817</x:v>
      </x:c>
      <x:c r="N30" s="377" t="n">
        <x:f>N29+L30</x:f>
        <x:v>1033455.313258185</x:v>
      </x:c>
      <x:c r="O30" s="364" t="n">
        <x:f>IF(AND(M30&gt;=0,M29&lt;0),A30,0)</x:f>
        <x:v>0</x:v>
      </x:c>
      <x:c r="P30" s="364" t="n">
        <x:f>IF(AND(N30&gt;=0,N29&lt;0),A30,0)</x:f>
        <x:v>17</x:v>
      </x:c>
      <x:c r="Q30" s="364" t="n">
        <x:f>0</x:f>
        <x:v>0</x:v>
      </x:c>
    </x:row>
    <x:row r="31">
      <x:c r="A31" s="364" t="n">
        <x:v>18</x:v>
      </x:c>
      <x:c r="B31" s="372" t="str">
        <x:f>'Денежный поток'!$B$28</x:f>
        <x:v>Эксплуатация</x:v>
      </x:c>
      <x:c r="C31" s="373" t="n">
        <x:f>'Денежный поток'!$F$28</x:f>
        <x:v>125833.33333333333</x:v>
      </x:c>
      <x:c r="D31" s="365" t="n">
        <x:f>IF(A31&gt;'Допущения'!$C$12,'Сравнение'!$D$9/12,0)</x:f>
        <x:v>1752000</x:v>
      </x:c>
      <x:c r="E31" s="365" t="n">
        <x:f>IF(A31&gt;'Допущения'!$C$12,'Сравнение'!$D$13/12,0)</x:f>
        <x:v>571428.5714285715</x:v>
      </x:c>
      <x:c r="F31" s="365" t="n">
        <x:f>IF(A31&gt;'Допущения'!$C$12,'Сравнение'!$D$17/12,0)</x:f>
        <x:v>37333.333333333336</x:v>
      </x:c>
      <x:c r="G31" s="365" t="n">
        <x:f>SUM(D31:F31)</x:f>
        <x:v>2360761.904761905</x:v>
      </x:c>
      <x:c r="H31" s="365" t="n">
        <x:f>G31-C31</x:f>
        <x:v>2234928.5714285714</x:v>
      </x:c>
      <x:c r="I31" s="366" t="n">
        <x:f>1/(1+$B$7)^A31</x:f>
        <x:v>0.8056140349770323</x:v>
      </x:c>
      <x:c r="J31" s="365" t="n">
        <x:f>C31*I31</x:f>
        <x:v>101373.09940127656</x:v>
      </x:c>
      <x:c r="K31" s="365" t="n">
        <x:f>G31*I31</x:f>
        <x:v>1901862.9237153027</x:v>
      </x:c>
      <x:c r="L31" s="377" t="n">
        <x:f>H31*I31</x:f>
        <x:v>1800489.824314026</x:v>
      </x:c>
      <x:c r="M31" s="377" t="n">
        <x:f>M30+H31</x:f>
        <x:v>5864142.857142853</x:v>
      </x:c>
      <x:c r="N31" s="377" t="n">
        <x:f>N30+L31</x:f>
        <x:v>2833945.137572211</x:v>
      </x:c>
      <x:c r="O31" s="364" t="n">
        <x:f>IF(AND(M31&gt;=0,M30&lt;0),A31,0)</x:f>
        <x:v>0</x:v>
      </x:c>
      <x:c r="P31" s="364" t="n">
        <x:f>IF(AND(N31&gt;=0,N30&lt;0),A31,0)</x:f>
        <x:v>0</x:v>
      </x:c>
      <x:c r="Q31" s="364" t="n">
        <x:f>0</x:f>
        <x:v>0</x:v>
      </x:c>
    </x:row>
    <x:row r="32">
      <x:c r="A32" s="364" t="n">
        <x:v>19</x:v>
      </x:c>
      <x:c r="B32" s="372" t="str">
        <x:f>'Денежный поток'!$B$29</x:f>
        <x:v>Эксплуатация</x:v>
      </x:c>
      <x:c r="C32" s="373" t="n">
        <x:f>'Денежный поток'!$F$29</x:f>
        <x:v>125833.33333333333</x:v>
      </x:c>
      <x:c r="D32" s="365" t="n">
        <x:f>IF(A32&gt;'Допущения'!$C$12,'Сравнение'!$D$9/12,0)</x:f>
        <x:v>1752000</x:v>
      </x:c>
      <x:c r="E32" s="365" t="n">
        <x:f>IF(A32&gt;'Допущения'!$C$12,'Сравнение'!$D$13/12,0)</x:f>
        <x:v>571428.5714285715</x:v>
      </x:c>
      <x:c r="F32" s="365" t="n">
        <x:f>IF(A32&gt;'Допущения'!$C$12,'Сравнение'!$D$17/12,0)</x:f>
        <x:v>37333.333333333336</x:v>
      </x:c>
      <x:c r="G32" s="365" t="n">
        <x:f>SUM(D32:F32)</x:f>
        <x:v>2360761.904761905</x:v>
      </x:c>
      <x:c r="H32" s="365" t="n">
        <x:f>G32-C32</x:f>
        <x:v>2234928.5714285714</x:v>
      </x:c>
      <x:c r="I32" s="366" t="n">
        <x:f>1/(1+$B$7)^A32</x:f>
        <x:v>0.7959977832858153</x:v>
      </x:c>
      <x:c r="J32" s="365" t="n">
        <x:f>C32*I32</x:f>
        <x:v>100163.05439679841</x:v>
      </x:c>
      <x:c r="K32" s="365" t="n">
        <x:f>G32*I32</x:f>
        <x:v>1879161.2430560752</x:v>
      </x:c>
      <x:c r="L32" s="377" t="n">
        <x:f>H32*I32</x:f>
        <x:v>1778998.1886592766</x:v>
      </x:c>
      <x:c r="M32" s="377" t="n">
        <x:f>M31+H32</x:f>
        <x:v>8099071.4285714235</x:v>
      </x:c>
      <x:c r="N32" s="377" t="n">
        <x:f>N31+L32</x:f>
        <x:v>4612943.326231488</x:v>
      </x:c>
      <x:c r="O32" s="364" t="n">
        <x:f>IF(AND(M32&gt;=0,M31&lt;0),A32,0)</x:f>
        <x:v>0</x:v>
      </x:c>
      <x:c r="P32" s="364" t="n">
        <x:f>IF(AND(N32&gt;=0,N31&lt;0),A32,0)</x:f>
        <x:v>0</x:v>
      </x:c>
      <x:c r="Q32" s="364" t="n">
        <x:f>0</x:f>
        <x:v>0</x:v>
      </x:c>
    </x:row>
    <x:row r="33">
      <x:c r="A33" s="364" t="n">
        <x:v>20</x:v>
      </x:c>
      <x:c r="B33" s="372" t="str">
        <x:f>'Денежный поток'!$B$30</x:f>
        <x:v>Эксплуатация</x:v>
      </x:c>
      <x:c r="C33" s="373" t="n">
        <x:f>'Денежный поток'!$F$30</x:f>
        <x:v>125833.33333333333</x:v>
      </x:c>
      <x:c r="D33" s="365" t="n">
        <x:f>IF(A33&gt;'Допущения'!$C$12,'Сравнение'!$D$9/12,0)</x:f>
        <x:v>1752000</x:v>
      </x:c>
      <x:c r="E33" s="365" t="n">
        <x:f>IF(A33&gt;'Допущения'!$C$12,'Сравнение'!$D$13/12,0)</x:f>
        <x:v>571428.5714285715</x:v>
      </x:c>
      <x:c r="F33" s="365" t="n">
        <x:f>IF(A33&gt;'Допущения'!$C$12,'Сравнение'!$D$17/12,0)</x:f>
        <x:v>37333.333333333336</x:v>
      </x:c>
      <x:c r="G33" s="365" t="n">
        <x:f>SUM(D33:F33)</x:f>
        <x:v>2360761.904761905</x:v>
      </x:c>
      <x:c r="H33" s="365" t="n">
        <x:f>G33-C33</x:f>
        <x:v>2234928.5714285714</x:v>
      </x:c>
      <x:c r="I33" s="366" t="n">
        <x:f>1/(1+$B$7)^A33</x:f>
        <x:v>0.78649631645754</x:v>
      </x:c>
      <x:c r="J33" s="365" t="n">
        <x:f>C33*I33</x:f>
        <x:v>98967.45315424044</x:v>
      </x:c>
      <x:c r="K33" s="365" t="n">
        <x:f>G33*I33</x:f>
        <x:v>1856730.542128524</x:v>
      </x:c>
      <x:c r="L33" s="377" t="n">
        <x:f>H33*I33</x:f>
        <x:v>1757763.0889742835</x:v>
      </x:c>
      <x:c r="M33" s="377" t="n">
        <x:f>M32+H33</x:f>
        <x:v>10333999.999999994</x:v>
      </x:c>
      <x:c r="N33" s="377" t="n">
        <x:f>N32+L33</x:f>
        <x:v>6370706.415205771</x:v>
      </x:c>
      <x:c r="O33" s="364" t="n">
        <x:f>IF(AND(M33&gt;=0,M32&lt;0),A33,0)</x:f>
        <x:v>0</x:v>
      </x:c>
      <x:c r="P33" s="364" t="n">
        <x:f>IF(AND(N33&gt;=0,N32&lt;0),A33,0)</x:f>
        <x:v>0</x:v>
      </x:c>
      <x:c r="Q33" s="364" t="n">
        <x:f>0</x:f>
        <x:v>0</x:v>
      </x:c>
    </x:row>
    <x:row r="34">
      <x:c r="A34" s="364" t="n">
        <x:v>21</x:v>
      </x:c>
      <x:c r="B34" s="372" t="str">
        <x:f>'Денежный поток'!$B$31</x:f>
        <x:v>Эксплуатация</x:v>
      </x:c>
      <x:c r="C34" s="373" t="n">
        <x:f>'Денежный поток'!$F$31</x:f>
        <x:v>125833.33333333333</x:v>
      </x:c>
      <x:c r="D34" s="365" t="n">
        <x:f>IF(A34&gt;'Допущения'!$C$12,'Сравнение'!$D$9/12,0)</x:f>
        <x:v>1752000</x:v>
      </x:c>
      <x:c r="E34" s="365" t="n">
        <x:f>IF(A34&gt;'Допущения'!$C$12,'Сравнение'!$D$13/12,0)</x:f>
        <x:v>571428.5714285715</x:v>
      </x:c>
      <x:c r="F34" s="365" t="n">
        <x:f>IF(A34&gt;'Допущения'!$C$12,'Сравнение'!$D$17/12,0)</x:f>
        <x:v>37333.333333333336</x:v>
      </x:c>
      <x:c r="G34" s="365" t="n">
        <x:f>SUM(D34:F34)</x:f>
        <x:v>2360761.904761905</x:v>
      </x:c>
      <x:c r="H34" s="365" t="n">
        <x:f>G34-C34</x:f>
        <x:v>2234928.5714285714</x:v>
      </x:c>
      <x:c r="I34" s="366" t="n">
        <x:f>1/(1+$B$7)^A34</x:f>
        <x:v>0.7771082643570245</x:v>
      </x:c>
      <x:c r="J34" s="365" t="n">
        <x:f>C34*I34</x:f>
        <x:v>97786.12326492558</x:v>
      </x:c>
      <x:c r="K34" s="365" t="n">
        <x:f>G34*I34</x:f>
        <x:v>1834567.586369707</x:v>
      </x:c>
      <x:c r="L34" s="377" t="n">
        <x:f>H34*I34</x:f>
        <x:v>1736781.4631047815</x:v>
      </x:c>
      <x:c r="M34" s="377" t="n">
        <x:f>M33+H34</x:f>
        <x:v>12568928.571428565</x:v>
      </x:c>
      <x:c r="N34" s="377" t="n">
        <x:f>N33+L34</x:f>
        <x:v>8107487.878310553</x:v>
      </x:c>
      <x:c r="O34" s="364" t="n">
        <x:f>IF(AND(M34&gt;=0,M33&lt;0),A34,0)</x:f>
        <x:v>0</x:v>
      </x:c>
      <x:c r="P34" s="364" t="n">
        <x:f>IF(AND(N34&gt;=0,N33&lt;0),A34,0)</x:f>
        <x:v>0</x:v>
      </x:c>
      <x:c r="Q34" s="364" t="n">
        <x:f>0</x:f>
        <x:v>0</x:v>
      </x:c>
    </x:row>
    <x:row r="35">
      <x:c r="A35" s="364" t="n">
        <x:v>22</x:v>
      </x:c>
      <x:c r="B35" s="372" t="str">
        <x:f>'Денежный поток'!$B$32</x:f>
        <x:v>Эксплуатация</x:v>
      </x:c>
      <x:c r="C35" s="373" t="n">
        <x:f>'Денежный поток'!$F$32</x:f>
        <x:v>125833.33333333333</x:v>
      </x:c>
      <x:c r="D35" s="365" t="n">
        <x:f>IF(A35&gt;'Допущения'!$C$12,'Сравнение'!$D$9/12,0)</x:f>
        <x:v>1752000</x:v>
      </x:c>
      <x:c r="E35" s="365" t="n">
        <x:f>IF(A35&gt;'Допущения'!$C$12,'Сравнение'!$D$13/12,0)</x:f>
        <x:v>571428.5714285715</x:v>
      </x:c>
      <x:c r="F35" s="365" t="n">
        <x:f>IF(A35&gt;'Допущения'!$C$12,'Сравнение'!$D$17/12,0)</x:f>
        <x:v>37333.333333333336</x:v>
      </x:c>
      <x:c r="G35" s="365" t="n">
        <x:f>SUM(D35:F35)</x:f>
        <x:v>2360761.904761905</x:v>
      </x:c>
      <x:c r="H35" s="365" t="n">
        <x:f>G35-C35</x:f>
        <x:v>2234928.5714285714</x:v>
      </x:c>
      <x:c r="I35" s="366" t="n">
        <x:f>1/(1+$B$7)^A35</x:f>
        <x:v>0.7678322732037732</x:v>
      </x:c>
      <x:c r="J35" s="365" t="n">
        <x:f>C35*I35</x:f>
        <x:v>96618.89437814146</x:v>
      </x:c>
      <x:c r="K35" s="365" t="n">
        <x:f>G35*I35</x:f>
        <x:v>1812669.179826203</x:v>
      </x:c>
      <x:c r="L35" s="377" t="n">
        <x:f>H35*I35</x:f>
        <x:v>1716050.2854480615</x:v>
      </x:c>
      <x:c r="M35" s="377" t="n">
        <x:f>M34+H35</x:f>
        <x:v>14803857.142857136</x:v>
      </x:c>
      <x:c r="N35" s="377" t="n">
        <x:f>N34+L35</x:f>
        <x:v>9823538.163758615</x:v>
      </x:c>
      <x:c r="O35" s="364" t="n">
        <x:f>IF(AND(M35&gt;=0,M34&lt;0),A35,0)</x:f>
        <x:v>0</x:v>
      </x:c>
      <x:c r="P35" s="364" t="n">
        <x:f>IF(AND(N35&gt;=0,N34&lt;0),A35,0)</x:f>
        <x:v>0</x:v>
      </x:c>
      <x:c r="Q35" s="364" t="n">
        <x:f>0</x:f>
        <x:v>0</x:v>
      </x:c>
    </x:row>
    <x:row r="36">
      <x:c r="A36" s="364" t="n">
        <x:v>23</x:v>
      </x:c>
      <x:c r="B36" s="372" t="str">
        <x:f>'Денежный поток'!$B$33</x:f>
        <x:v>Эксплуатация</x:v>
      </x:c>
      <x:c r="C36" s="373" t="n">
        <x:f>'Денежный поток'!$F$33</x:f>
        <x:v>125833.33333333333</x:v>
      </x:c>
      <x:c r="D36" s="365" t="n">
        <x:f>IF(A36&gt;'Допущения'!$C$12,'Сравнение'!$D$9/12,0)</x:f>
        <x:v>1752000</x:v>
      </x:c>
      <x:c r="E36" s="365" t="n">
        <x:f>IF(A36&gt;'Допущения'!$C$12,'Сравнение'!$D$13/12,0)</x:f>
        <x:v>571428.5714285715</x:v>
      </x:c>
      <x:c r="F36" s="365" t="n">
        <x:f>IF(A36&gt;'Допущения'!$C$12,'Сравнение'!$D$17/12,0)</x:f>
        <x:v>37333.333333333336</x:v>
      </x:c>
      <x:c r="G36" s="365" t="n">
        <x:f>SUM(D36:F36)</x:f>
        <x:v>2360761.904761905</x:v>
      </x:c>
      <x:c r="H36" s="365" t="n">
        <x:f>G36-C36</x:f>
        <x:v>2234928.5714285714</x:v>
      </x:c>
      <x:c r="I36" s="366" t="n">
        <x:f>1/(1+$B$7)^A36</x:f>
        <x:v>0.758667005376758</x:v>
      </x:c>
      <x:c r="J36" s="365" t="n">
        <x:f>C36*I36</x:f>
        <x:v>95465.59817657538</x:v>
      </x:c>
      <x:c r="K36" s="365" t="n">
        <x:f>G36*I36</x:f>
        <x:v>1791032.1646932457</x:v>
      </x:c>
      <x:c r="L36" s="377" t="n">
        <x:f>H36*I36</x:f>
        <x:v>1695566.5665166702</x:v>
      </x:c>
      <x:c r="M36" s="377" t="n">
        <x:f>M35+H36</x:f>
        <x:v>17038785.71428571</x:v>
      </x:c>
      <x:c r="N36" s="377" t="n">
        <x:f>N35+L36</x:f>
        <x:v>11519104.730275284</x:v>
      </x:c>
      <x:c r="O36" s="364" t="n">
        <x:f>IF(AND(M36&gt;=0,M35&lt;0),A36,0)</x:f>
        <x:v>0</x:v>
      </x:c>
      <x:c r="P36" s="364" t="n">
        <x:f>IF(AND(N36&gt;=0,N35&lt;0),A36,0)</x:f>
        <x:v>0</x:v>
      </x:c>
      <x:c r="Q36" s="364" t="n">
        <x:f>0</x:f>
        <x:v>0</x:v>
      </x:c>
    </x:row>
    <x:row r="37">
      <x:c r="A37" s="364" t="n">
        <x:v>24</x:v>
      </x:c>
      <x:c r="B37" s="372" t="str">
        <x:f>'Денежный поток'!$B$34</x:f>
        <x:v>Эксплуатация</x:v>
      </x:c>
      <x:c r="C37" s="373" t="n">
        <x:f>'Денежный поток'!$F$34</x:f>
        <x:v>125833.33333333333</x:v>
      </x:c>
      <x:c r="D37" s="365" t="n">
        <x:f>IF(A37&gt;'Допущения'!$C$12,'Сравнение'!$D$9/12,0)</x:f>
        <x:v>1752000</x:v>
      </x:c>
      <x:c r="E37" s="365" t="n">
        <x:f>IF(A37&gt;'Допущения'!$C$12,'Сравнение'!$D$13/12,0)</x:f>
        <x:v>571428.5714285715</x:v>
      </x:c>
      <x:c r="F37" s="365" t="n">
        <x:f>IF(A37&gt;'Допущения'!$C$12,'Сравнение'!$D$17/12,0)</x:f>
        <x:v>37333.333333333336</x:v>
      </x:c>
      <x:c r="G37" s="365" t="n">
        <x:f>SUM(D37:F37)</x:f>
        <x:v>2360761.904761905</x:v>
      </x:c>
      <x:c r="H37" s="365" t="n">
        <x:f>G37-C37</x:f>
        <x:v>2234928.5714285714</x:v>
      </x:c>
      <x:c r="I37" s="366" t="n">
        <x:f>1/(1+$B$7)^A37</x:f>
        <x:v>0.7496111392215304</x:v>
      </x:c>
      <x:c r="J37" s="365" t="n">
        <x:f>C37*I37</x:f>
        <x:v>94326.06835204258</x:v>
      </x:c>
      <x:c r="K37" s="365" t="n">
        <x:f>G37*I37</x:f>
        <x:v>1769653.4208593615</x:v>
      </x:c>
      <x:c r="L37" s="377" t="n">
        <x:f>H37*I37</x:f>
        <x:v>1675327.3525073188</x:v>
      </x:c>
      <x:c r="M37" s="377" t="n">
        <x:f>M36+H37</x:f>
        <x:v>19273714.28571428</x:v>
      </x:c>
      <x:c r="N37" s="377" t="n">
        <x:f>N36+L37</x:f>
        <x:v>13194432.082782604</x:v>
      </x:c>
      <x:c r="O37" s="364" t="n">
        <x:f>IF(AND(M37&gt;=0,M36&lt;0),A37,0)</x:f>
        <x:v>0</x:v>
      </x:c>
      <x:c r="P37" s="364" t="n">
        <x:f>IF(AND(N37&gt;=0,N36&lt;0),A37,0)</x:f>
        <x:v>0</x:v>
      </x:c>
      <x:c r="Q37" s="364" t="n">
        <x:f>0</x:f>
        <x:v>0</x:v>
      </x:c>
    </x:row>
    <x:row r="38">
      <x:c r="A38" s="364" t="n">
        <x:v>25</x:v>
      </x:c>
      <x:c r="B38" s="372" t="str">
        <x:f>'Денежный поток'!$B$35</x:f>
        <x:v>Эксплуатация</x:v>
      </x:c>
      <x:c r="C38" s="373" t="n">
        <x:f>'Денежный поток'!$F$35</x:f>
        <x:v>125833.33333333333</x:v>
      </x:c>
      <x:c r="D38" s="365" t="n">
        <x:f>IF(A38&gt;'Допущения'!$C$12,'Сравнение'!$D$9/12,0)</x:f>
        <x:v>1752000</x:v>
      </x:c>
      <x:c r="E38" s="365" t="n">
        <x:f>IF(A38&gt;'Допущения'!$C$12,'Сравнение'!$D$13/12,0)</x:f>
        <x:v>571428.5714285715</x:v>
      </x:c>
      <x:c r="F38" s="365" t="n">
        <x:f>IF(A38&gt;'Допущения'!$C$12,'Сравнение'!$D$17/12,0)</x:f>
        <x:v>37333.333333333336</x:v>
      </x:c>
      <x:c r="G38" s="365" t="n">
        <x:f>SUM(D38:F38)</x:f>
        <x:v>2360761.904761905</x:v>
      </x:c>
      <x:c r="H38" s="365" t="n">
        <x:f>G38-C38</x:f>
        <x:v>2234928.5714285714</x:v>
      </x:c>
      <x:c r="I38" s="366" t="n">
        <x:f>1/(1+$B$7)^A38</x:f>
        <x:v>0.7406633688596352</x:v>
      </x:c>
      <x:c r="J38" s="365" t="n">
        <x:f>C38*I38</x:f>
        <x:v>93200.14058150409</x:v>
      </x:c>
      <x:c r="K38" s="365" t="n">
        <x:f>G38*I38</x:f>
        <x:v>1748529.8654564419</x:v>
      </x:c>
      <x:c r="L38" s="377" t="n">
        <x:f>H38*I38</x:f>
        <x:v>1655329.7248749377</x:v>
      </x:c>
      <x:c r="M38" s="377" t="n">
        <x:f>M37+H38</x:f>
        <x:v>21508642.85714285</x:v>
      </x:c>
      <x:c r="N38" s="377" t="n">
        <x:f>N37+L38</x:f>
        <x:v>14849761.807657542</x:v>
      </x:c>
      <x:c r="O38" s="364" t="n">
        <x:f>IF(AND(M38&gt;=0,M37&lt;0),A38,0)</x:f>
        <x:v>0</x:v>
      </x:c>
      <x:c r="P38" s="364" t="n">
        <x:f>IF(AND(N38&gt;=0,N37&lt;0),A38,0)</x:f>
        <x:v>0</x:v>
      </x:c>
      <x:c r="Q38" s="364" t="n">
        <x:f>0</x:f>
        <x:v>0</x:v>
      </x:c>
    </x:row>
    <x:row r="39">
      <x:c r="A39" s="364" t="n">
        <x:v>26</x:v>
      </x:c>
      <x:c r="B39" s="372" t="str">
        <x:f>'Денежный поток'!$B$36</x:f>
        <x:v>Эксплуатация</x:v>
      </x:c>
      <x:c r="C39" s="373" t="n">
        <x:f>'Денежный поток'!$F$36</x:f>
        <x:v>125833.33333333333</x:v>
      </x:c>
      <x:c r="D39" s="365" t="n">
        <x:f>IF(A39&gt;'Допущения'!$C$12,'Сравнение'!$D$9/12,0)</x:f>
        <x:v>1752000</x:v>
      </x:c>
      <x:c r="E39" s="365" t="n">
        <x:f>IF(A39&gt;'Допущения'!$C$12,'Сравнение'!$D$13/12,0)</x:f>
        <x:v>571428.5714285715</x:v>
      </x:c>
      <x:c r="F39" s="365" t="n">
        <x:f>IF(A39&gt;'Допущения'!$C$12,'Сравнение'!$D$17/12,0)</x:f>
        <x:v>37333.333333333336</x:v>
      </x:c>
      <x:c r="G39" s="365" t="n">
        <x:f>SUM(D39:F39)</x:f>
        <x:v>2360761.904761905</x:v>
      </x:c>
      <x:c r="H39" s="365" t="n">
        <x:f>G39-C39</x:f>
        <x:v>2234928.5714285714</x:v>
      </x:c>
      <x:c r="I39" s="366" t="n">
        <x:f>1/(1+$B$7)^A39</x:f>
        <x:v>0.7318224040003003</x:v>
      </x:c>
      <x:c r="J39" s="365" t="n">
        <x:f>C39*I39</x:f>
        <x:v>92087.65250337112</x:v>
      </x:c>
      <x:c r="K39" s="365" t="n">
        <x:f>G39*I39</x:f>
        <x:v>1727658.4524151853</x:v>
      </x:c>
      <x:c r="L39" s="377" t="n">
        <x:f>H39*I39</x:f>
        <x:v>1635570.799911814</x:v>
      </x:c>
      <x:c r="M39" s="377" t="n">
        <x:f>M38+H39</x:f>
        <x:v>23743571.42857142</x:v>
      </x:c>
      <x:c r="N39" s="377" t="n">
        <x:f>N38+L39</x:f>
        <x:v>16485332.607569356</x:v>
      </x:c>
      <x:c r="O39" s="364" t="n">
        <x:f>IF(AND(M39&gt;=0,M38&lt;0),A39,0)</x:f>
        <x:v>0</x:v>
      </x:c>
      <x:c r="P39" s="364" t="n">
        <x:f>IF(AND(N39&gt;=0,N38&lt;0),A39,0)</x:f>
        <x:v>0</x:v>
      </x:c>
      <x:c r="Q39" s="364" t="n">
        <x:f>0</x:f>
        <x:v>0</x:v>
      </x:c>
    </x:row>
    <x:row r="40">
      <x:c r="A40" s="364" t="n">
        <x:v>27</x:v>
      </x:c>
      <x:c r="B40" s="372" t="str">
        <x:f>'Денежный поток'!$B$37</x:f>
        <x:v>Эксплуатация</x:v>
      </x:c>
      <x:c r="C40" s="373" t="n">
        <x:f>'Денежный поток'!$F$37</x:f>
        <x:v>125833.33333333333</x:v>
      </x:c>
      <x:c r="D40" s="365" t="n">
        <x:f>IF(A40&gt;'Допущения'!$C$12,'Сравнение'!$D$9/12,0)</x:f>
        <x:v>1752000</x:v>
      </x:c>
      <x:c r="E40" s="365" t="n">
        <x:f>IF(A40&gt;'Допущения'!$C$12,'Сравнение'!$D$13/12,0)</x:f>
        <x:v>571428.5714285715</x:v>
      </x:c>
      <x:c r="F40" s="365" t="n">
        <x:f>IF(A40&gt;'Допущения'!$C$12,'Сравнение'!$D$17/12,0)</x:f>
        <x:v>37333.333333333336</x:v>
      </x:c>
      <x:c r="G40" s="365" t="n">
        <x:f>SUM(D40:F40)</x:f>
        <x:v>2360761.904761905</x:v>
      </x:c>
      <x:c r="H40" s="365" t="n">
        <x:f>G40-C40</x:f>
        <x:v>2234928.5714285714</x:v>
      </x:c>
      <x:c r="I40" s="366" t="n">
        <x:f>1/(1+$B$7)^A40</x:f>
        <x:v>0.7230869697543726</x:v>
      </x:c>
      <x:c r="J40" s="365" t="n">
        <x:f>C40*I40</x:f>
        <x:v>90988.44369409188</x:v>
      </x:c>
      <x:c r="K40" s="365" t="n">
        <x:f>G40*I40</x:f>
        <x:v>1707036.1720258466</x:v>
      </x:c>
      <x:c r="L40" s="377" t="n">
        <x:f>H40*I40</x:f>
        <x:v>1616047.7283317544</x:v>
      </x:c>
      <x:c r="M40" s="377" t="n">
        <x:f>M39+H40</x:f>
        <x:v>25978499.999999993</x:v>
      </x:c>
      <x:c r="N40" s="377" t="n">
        <x:f>N39+L40</x:f>
        <x:v>18101380.33590111</x:v>
      </x:c>
      <x:c r="O40" s="364" t="n">
        <x:f>IF(AND(M40&gt;=0,M39&lt;0),A40,0)</x:f>
        <x:v>0</x:v>
      </x:c>
      <x:c r="P40" s="364" t="n">
        <x:f>IF(AND(N40&gt;=0,N39&lt;0),A40,0)</x:f>
        <x:v>0</x:v>
      </x:c>
      <x:c r="Q40" s="364" t="n">
        <x:f>0</x:f>
        <x:v>0</x:v>
      </x:c>
    </x:row>
    <x:row r="41">
      <x:c r="A41" s="364" t="n">
        <x:v>28</x:v>
      </x:c>
      <x:c r="B41" s="372" t="str">
        <x:f>'Денежный поток'!$B$38</x:f>
        <x:v>Эксплуатация</x:v>
      </x:c>
      <x:c r="C41" s="373" t="n">
        <x:f>'Денежный поток'!$F$38</x:f>
        <x:v>125833.33333333333</x:v>
      </x:c>
      <x:c r="D41" s="365" t="n">
        <x:f>IF(A41&gt;'Допущения'!$C$12,'Сравнение'!$D$9/12,0)</x:f>
        <x:v>1752000</x:v>
      </x:c>
      <x:c r="E41" s="365" t="n">
        <x:f>IF(A41&gt;'Допущения'!$C$12,'Сравнение'!$D$13/12,0)</x:f>
        <x:v>571428.5714285715</x:v>
      </x:c>
      <x:c r="F41" s="365" t="n">
        <x:f>IF(A41&gt;'Допущения'!$C$12,'Сравнение'!$D$17/12,0)</x:f>
        <x:v>37333.333333333336</x:v>
      </x:c>
      <x:c r="G41" s="365" t="n">
        <x:f>SUM(D41:F41)</x:f>
        <x:v>2360761.904761905</x:v>
      </x:c>
      <x:c r="H41" s="365" t="n">
        <x:f>G41-C41</x:f>
        <x:v>2234928.5714285714</x:v>
      </x:c>
      <x:c r="I41" s="366" t="n">
        <x:f>1/(1+$B$7)^A41</x:f>
        <x:v>0.7144558064504763</x:v>
      </x:c>
      <x:c r="J41" s="365" t="n">
        <x:f>C41*I41</x:f>
        <x:v>89902.35564501827</x:v>
      </x:c>
      <x:c r="K41" s="365" t="n">
        <x:f>G41*I41</x:f>
        <x:v>1686660.0505042293</x:v>
      </x:c>
      <x:c r="L41" s="377" t="n">
        <x:f>H41*I41</x:f>
        <x:v>1596757.694859211</x:v>
      </x:c>
      <x:c r="M41" s="377" t="n">
        <x:f>M40+H41</x:f>
        <x:v>28213428.571428563</x:v>
      </x:c>
      <x:c r="N41" s="377" t="n">
        <x:f>N40+L41</x:f>
        <x:v>19698138.03076032</x:v>
      </x:c>
      <x:c r="O41" s="364" t="n">
        <x:f>IF(AND(M41&gt;=0,M40&lt;0),A41,0)</x:f>
        <x:v>0</x:v>
      </x:c>
      <x:c r="P41" s="364" t="n">
        <x:f>IF(AND(N41&gt;=0,N40&lt;0),A41,0)</x:f>
        <x:v>0</x:v>
      </x:c>
      <x:c r="Q41" s="364" t="n">
        <x:f>0</x:f>
        <x:v>0</x:v>
      </x:c>
    </x:row>
    <x:row r="42">
      <x:c r="A42" s="364" t="n">
        <x:v>29</x:v>
      </x:c>
      <x:c r="B42" s="372" t="str">
        <x:f>'Денежный поток'!$B$39</x:f>
        <x:v>Эксплуатация</x:v>
      </x:c>
      <x:c r="C42" s="373" t="n">
        <x:f>'Денежный поток'!$F$39</x:f>
        <x:v>125833.33333333333</x:v>
      </x:c>
      <x:c r="D42" s="365" t="n">
        <x:f>IF(A42&gt;'Допущения'!$C$12,'Сравнение'!$D$9/12,0)</x:f>
        <x:v>1752000</x:v>
      </x:c>
      <x:c r="E42" s="365" t="n">
        <x:f>IF(A42&gt;'Допущения'!$C$12,'Сравнение'!$D$13/12,0)</x:f>
        <x:v>571428.5714285715</x:v>
      </x:c>
      <x:c r="F42" s="365" t="n">
        <x:f>IF(A42&gt;'Допущения'!$C$12,'Сравнение'!$D$17/12,0)</x:f>
        <x:v>37333.333333333336</x:v>
      </x:c>
      <x:c r="G42" s="365" t="n">
        <x:f>SUM(D42:F42)</x:f>
        <x:v>2360761.904761905</x:v>
      </x:c>
      <x:c r="H42" s="365" t="n">
        <x:f>G42-C42</x:f>
        <x:v>2234928.5714285714</x:v>
      </x:c>
      <x:c r="I42" s="366" t="n">
        <x:f>1/(1+$B$7)^A42</x:f>
        <x:v>0.7059276694533656</x:v>
      </x:c>
      <x:c r="J42" s="365" t="n">
        <x:f>C42*I42</x:f>
        <x:v>88829.2317395485</x:v>
      </x:c>
      <x:c r="K42" s="365" t="n">
        <x:f>G42*I42</x:f>
        <x:v>1666527.1495628597</x:v>
      </x:c>
      <x:c r="L42" s="377" t="n">
        <x:f>H42*I42</x:f>
        <x:v>1577697.9178233112</x:v>
      </x:c>
      <x:c r="M42" s="377" t="n">
        <x:f>M41+H42</x:f>
        <x:v>30448357.142857134</x:v>
      </x:c>
      <x:c r="N42" s="377" t="n">
        <x:f>N41+L42</x:f>
        <x:v>21275835.948583633</x:v>
      </x:c>
      <x:c r="O42" s="364" t="n">
        <x:f>IF(AND(M42&gt;=0,M41&lt;0),A42,0)</x:f>
        <x:v>0</x:v>
      </x:c>
      <x:c r="P42" s="364" t="n">
        <x:f>IF(AND(N42&gt;=0,N41&lt;0),A42,0)</x:f>
        <x:v>0</x:v>
      </x:c>
      <x:c r="Q42" s="364" t="n">
        <x:f>0</x:f>
        <x:v>0</x:v>
      </x:c>
    </x:row>
    <x:row r="43">
      <x:c r="A43" s="364" t="n">
        <x:v>30</x:v>
      </x:c>
      <x:c r="B43" s="372" t="str">
        <x:f>'Денежный поток'!$B$40</x:f>
        <x:v>Эксплуатация</x:v>
      </x:c>
      <x:c r="C43" s="373" t="n">
        <x:f>'Денежный поток'!$F$40</x:f>
        <x:v>125833.33333333333</x:v>
      </x:c>
      <x:c r="D43" s="365" t="n">
        <x:f>IF(A43&gt;'Допущения'!$C$12,'Сравнение'!$D$9/12,0)</x:f>
        <x:v>1752000</x:v>
      </x:c>
      <x:c r="E43" s="365" t="n">
        <x:f>IF(A43&gt;'Допущения'!$C$12,'Сравнение'!$D$13/12,0)</x:f>
        <x:v>571428.5714285715</x:v>
      </x:c>
      <x:c r="F43" s="365" t="n">
        <x:f>IF(A43&gt;'Допущения'!$C$12,'Сравнение'!$D$17/12,0)</x:f>
        <x:v>37333.333333333336</x:v>
      </x:c>
      <x:c r="G43" s="365" t="n">
        <x:f>SUM(D43:F43)</x:f>
        <x:v>2360761.904761905</x:v>
      </x:c>
      <x:c r="H43" s="365" t="n">
        <x:f>G43-C43</x:f>
        <x:v>2234928.5714285714</x:v>
      </x:c>
      <x:c r="I43" s="366" t="n">
        <x:f>1/(1+$B$7)^A43</x:f>
        <x:v>0.6975013289844444</x:v>
      </x:c>
      <x:c r="J43" s="365" t="n">
        <x:f>C43*I43</x:f>
        <x:v>87768.91723054259</x:v>
      </x:c>
      <x:c r="K43" s="365" t="n">
        <x:f>G43*I43</x:f>
        <x:v>1646634.565987277</x:v>
      </x:c>
      <x:c r="L43" s="377" t="n">
        <x:f>H43*I43</x:f>
        <x:v>1558865.6487567343</x:v>
      </x:c>
      <x:c r="M43" s="377" t="n">
        <x:f>M42+H43</x:f>
        <x:v>32683285.714285705</x:v>
      </x:c>
      <x:c r="N43" s="377" t="n">
        <x:f>N42+L43</x:f>
        <x:v>22834701.597340368</x:v>
      </x:c>
      <x:c r="O43" s="364" t="n">
        <x:f>IF(AND(M43&gt;=0,M42&lt;0),A43,0)</x:f>
        <x:v>0</x:v>
      </x:c>
      <x:c r="P43" s="364" t="n">
        <x:f>IF(AND(N43&gt;=0,N42&lt;0),A43,0)</x:f>
        <x:v>0</x:v>
      </x:c>
      <x:c r="Q43" s="364" t="n">
        <x:f>0</x:f>
        <x:v>0</x:v>
      </x:c>
    </x:row>
    <x:row r="44">
      <x:c r="A44" s="364" t="n">
        <x:v>31</x:v>
      </x:c>
      <x:c r="B44" s="372" t="str">
        <x:f>'Денежный поток'!$B$41</x:f>
        <x:v>Эксплуатация</x:v>
      </x:c>
      <x:c r="C44" s="373" t="n">
        <x:f>'Денежный поток'!$F$41</x:f>
        <x:v>125833.33333333333</x:v>
      </x:c>
      <x:c r="D44" s="365" t="n">
        <x:f>IF(A44&gt;'Допущения'!$C$12,'Сравнение'!$D$9/12,0)</x:f>
        <x:v>1752000</x:v>
      </x:c>
      <x:c r="E44" s="365" t="n">
        <x:f>IF(A44&gt;'Допущения'!$C$12,'Сравнение'!$D$13/12,0)</x:f>
        <x:v>571428.5714285715</x:v>
      </x:c>
      <x:c r="F44" s="365" t="n">
        <x:f>IF(A44&gt;'Допущения'!$C$12,'Сравнение'!$D$17/12,0)</x:f>
        <x:v>37333.333333333336</x:v>
      </x:c>
      <x:c r="G44" s="365" t="n">
        <x:f>SUM(D44:F44)</x:f>
        <x:v>2360761.904761905</x:v>
      </x:c>
      <x:c r="H44" s="365" t="n">
        <x:f>G44-C44</x:f>
        <x:v>2234928.5714285714</x:v>
      </x:c>
      <x:c r="I44" s="366" t="n">
        <x:f>1/(1+$B$7)^A44</x:f>
        <x:v>0.6891755699444295</x:v>
      </x:c>
      <x:c r="J44" s="365" t="n">
        <x:f>C44*I44</x:f>
        <x:v>86721.25921800738</x:v>
      </x:c>
      <x:c r="K44" s="365" t="n">
        <x:f>G44*I44</x:f>
        <x:v>1626979.431217383</x:v>
      </x:c>
      <x:c r="L44" s="377" t="n">
        <x:f>H44*I44</x:f>
        <x:v>1540258.1719993753</x:v>
      </x:c>
      <x:c r="M44" s="377" t="n">
        <x:f>M43+H44</x:f>
        <x:v>34918214.285714276</x:v>
      </x:c>
      <x:c r="N44" s="377" t="n">
        <x:f>N43+L44</x:f>
        <x:v>24374959.769339744</x:v>
      </x:c>
      <x:c r="O44" s="364" t="n">
        <x:f>IF(AND(M44&gt;=0,M43&lt;0),A44,0)</x:f>
        <x:v>0</x:v>
      </x:c>
      <x:c r="P44" s="364" t="n">
        <x:f>IF(AND(N44&gt;=0,N43&lt;0),A44,0)</x:f>
        <x:v>0</x:v>
      </x:c>
      <x:c r="Q44" s="364" t="n">
        <x:f>0</x:f>
        <x:v>0</x:v>
      </x:c>
    </x:row>
    <x:row r="45">
      <x:c r="A45" s="364" t="n">
        <x:v>32</x:v>
      </x:c>
      <x:c r="B45" s="372" t="str">
        <x:f>'Денежный поток'!$B$42</x:f>
        <x:v>Эксплуатация</x:v>
      </x:c>
      <x:c r="C45" s="373" t="n">
        <x:f>'Денежный поток'!$F$42</x:f>
        <x:v>125833.33333333333</x:v>
      </x:c>
      <x:c r="D45" s="365" t="n">
        <x:f>IF(A45&gt;'Допущения'!$C$12,'Сравнение'!$D$9/12,0)</x:f>
        <x:v>1752000</x:v>
      </x:c>
      <x:c r="E45" s="365" t="n">
        <x:f>IF(A45&gt;'Допущения'!$C$12,'Сравнение'!$D$13/12,0)</x:f>
        <x:v>571428.5714285715</x:v>
      </x:c>
      <x:c r="F45" s="365" t="n">
        <x:f>IF(A45&gt;'Допущения'!$C$12,'Сравнение'!$D$17/12,0)</x:f>
        <x:v>37333.333333333336</x:v>
      </x:c>
      <x:c r="G45" s="365" t="n">
        <x:f>SUM(D45:F45)</x:f>
        <x:v>2360761.904761905</x:v>
      </x:c>
      <x:c r="H45" s="365" t="n">
        <x:f>G45-C45</x:f>
        <x:v>2234928.5714285714</x:v>
      </x:c>
      <x:c r="I45" s="366" t="n">
        <x:f>1/(1+$B$7)^A45</x:f>
        <x:v>0.6809491917381305</x:v>
      </x:c>
      <x:c r="J45" s="365" t="n">
        <x:f>C45*I45</x:f>
        <x:v>85686.10662704808</x:v>
      </x:c>
      <x:c r="K45" s="365" t="n">
        <x:f>G45*I45</x:f>
        <x:v>1607558.9109337886</x:v>
      </x:c>
      <x:c r="L45" s="377" t="n">
        <x:f>H45*I45</x:f>
        <x:v>1521872.8043067404</x:v>
      </x:c>
      <x:c r="M45" s="377" t="n">
        <x:f>M44+H45</x:f>
        <x:v>37153142.85714285</x:v>
      </x:c>
      <x:c r="N45" s="377" t="n">
        <x:f>N44+L45</x:f>
        <x:v>25896832.573646486</x:v>
      </x:c>
      <x:c r="O45" s="364" t="n">
        <x:f>IF(AND(M45&gt;=0,M44&lt;0),A45,0)</x:f>
        <x:v>0</x:v>
      </x:c>
      <x:c r="P45" s="364" t="n">
        <x:f>IF(AND(N45&gt;=0,N44&lt;0),A45,0)</x:f>
        <x:v>0</x:v>
      </x:c>
      <x:c r="Q45" s="364" t="n">
        <x:f>0</x:f>
        <x:v>0</x:v>
      </x:c>
    </x:row>
    <x:row r="46">
      <x:c r="A46" s="364" t="n">
        <x:v>33</x:v>
      </x:c>
      <x:c r="B46" s="372" t="str">
        <x:f>'Денежный поток'!$B$43</x:f>
        <x:v>Эксплуатация</x:v>
      </x:c>
      <x:c r="C46" s="373" t="n">
        <x:f>'Денежный поток'!$F$43</x:f>
        <x:v>125833.33333333333</x:v>
      </x:c>
      <x:c r="D46" s="365" t="n">
        <x:f>IF(A46&gt;'Допущения'!$C$12,'Сравнение'!$D$9/12,0)</x:f>
        <x:v>1752000</x:v>
      </x:c>
      <x:c r="E46" s="365" t="n">
        <x:f>IF(A46&gt;'Допущения'!$C$12,'Сравнение'!$D$13/12,0)</x:f>
        <x:v>571428.5714285715</x:v>
      </x:c>
      <x:c r="F46" s="365" t="n">
        <x:f>IF(A46&gt;'Допущения'!$C$12,'Сравнение'!$D$17/12,0)</x:f>
        <x:v>37333.333333333336</x:v>
      </x:c>
      <x:c r="G46" s="365" t="n">
        <x:f>SUM(D46:F46)</x:f>
        <x:v>2360761.904761905</x:v>
      </x:c>
      <x:c r="H46" s="365" t="n">
        <x:f>G46-C46</x:f>
        <x:v>2234928.5714285714</x:v>
      </x:c>
      <x:c r="I46" s="366" t="n">
        <x:f>1/(1+$B$7)^A46</x:f>
        <x:v>0.6728210081013206</x:v>
      </x:c>
      <x:c r="J46" s="365" t="n">
        <x:f>C46*I46</x:f>
        <x:v>84663.31018608285</x:v>
      </x:c>
      <x:c r="K46" s="365" t="n">
        <x:f>G46*I46</x:f>
        <x:v>1588370.2046490987</x:v>
      </x:c>
      <x:c r="L46" s="377" t="n">
        <x:f>H46*I46</x:f>
        <x:v>1503706.8944630157</x:v>
      </x:c>
      <x:c r="M46" s="377" t="n">
        <x:f>M45+H46</x:f>
        <x:v>39388071.428571425</x:v>
      </x:c>
      <x:c r="N46" s="377" t="n">
        <x:f>N45+L46</x:f>
        <x:v>27400539.468109503</x:v>
      </x:c>
      <x:c r="O46" s="364" t="n">
        <x:f>IF(AND(M46&gt;=0,M45&lt;0),A46,0)</x:f>
        <x:v>0</x:v>
      </x:c>
      <x:c r="P46" s="364" t="n">
        <x:f>IF(AND(N46&gt;=0,N45&lt;0),A46,0)</x:f>
        <x:v>0</x:v>
      </x:c>
      <x:c r="Q46" s="364" t="n">
        <x:f>0</x:f>
        <x:v>0</x:v>
      </x:c>
    </x:row>
    <x:row r="47">
      <x:c r="A47" s="364" t="n">
        <x:v>34</x:v>
      </x:c>
      <x:c r="B47" s="372" t="str">
        <x:f>'Денежный поток'!$B$44</x:f>
        <x:v>Эксплуатация</x:v>
      </x:c>
      <x:c r="C47" s="373" t="n">
        <x:f>'Денежный поток'!$F$44</x:f>
        <x:v>125833.33333333333</x:v>
      </x:c>
      <x:c r="D47" s="365" t="n">
        <x:f>IF(A47&gt;'Допущения'!$C$12,'Сравнение'!$D$9/12,0)</x:f>
        <x:v>1752000</x:v>
      </x:c>
      <x:c r="E47" s="365" t="n">
        <x:f>IF(A47&gt;'Допущения'!$C$12,'Сравнение'!$D$13/12,0)</x:f>
        <x:v>571428.5714285715</x:v>
      </x:c>
      <x:c r="F47" s="365" t="n">
        <x:f>IF(A47&gt;'Допущения'!$C$12,'Сравнение'!$D$17/12,0)</x:f>
        <x:v>37333.333333333336</x:v>
      </x:c>
      <x:c r="G47" s="365" t="n">
        <x:f>SUM(D47:F47)</x:f>
        <x:v>2360761.904761905</x:v>
      </x:c>
      <x:c r="H47" s="365" t="n">
        <x:f>G47-C47</x:f>
        <x:v>2234928.5714285714</x:v>
      </x:c>
      <x:c r="I47" s="366" t="n">
        <x:f>1/(1+$B$7)^A47</x:f>
        <x:v>0.6647898469296745</x:v>
      </x:c>
      <x:c r="J47" s="365" t="n">
        <x:f>C47*I47</x:f>
        <x:v>83652.72240531737</x:v>
      </x:c>
      <x:c r="K47" s="365" t="n">
        <x:f>G47*I47</x:f>
        <x:v>1569410.5453040735</x:v>
      </x:c>
      <x:c r="L47" s="377" t="n">
        <x:f>H47*I47</x:f>
        <x:v>1485757.822898756</x:v>
      </x:c>
      <x:c r="M47" s="377" t="n">
        <x:f>M46+H47</x:f>
        <x:v>41623000</x:v>
      </x:c>
      <x:c r="N47" s="377" t="n">
        <x:f>N46+L47</x:f>
        <x:v>28886297.29100826</x:v>
      </x:c>
      <x:c r="O47" s="364" t="n">
        <x:f>IF(AND(M47&gt;=0,M46&lt;0),A47,0)</x:f>
        <x:v>0</x:v>
      </x:c>
      <x:c r="P47" s="364" t="n">
        <x:f>IF(AND(N47&gt;=0,N46&lt;0),A47,0)</x:f>
        <x:v>0</x:v>
      </x:c>
      <x:c r="Q47" s="364" t="n">
        <x:f>0</x:f>
        <x:v>0</x:v>
      </x:c>
    </x:row>
    <x:row r="48">
      <x:c r="A48" s="364" t="n">
        <x:v>35</x:v>
      </x:c>
      <x:c r="B48" s="372" t="str">
        <x:f>'Денежный поток'!$B$45</x:f>
        <x:v>Эксплуатация</x:v>
      </x:c>
      <x:c r="C48" s="373" t="n">
        <x:f>'Денежный поток'!$F$45</x:f>
        <x:v>125833.33333333333</x:v>
      </x:c>
      <x:c r="D48" s="365" t="n">
        <x:f>IF(A48&gt;'Допущения'!$C$12,'Сравнение'!$D$9/12,0)</x:f>
        <x:v>1752000</x:v>
      </x:c>
      <x:c r="E48" s="365" t="n">
        <x:f>IF(A48&gt;'Допущения'!$C$12,'Сравнение'!$D$13/12,0)</x:f>
        <x:v>571428.5714285715</x:v>
      </x:c>
      <x:c r="F48" s="365" t="n">
        <x:f>IF(A48&gt;'Допущения'!$C$12,'Сравнение'!$D$17/12,0)</x:f>
        <x:v>37333.333333333336</x:v>
      </x:c>
      <x:c r="G48" s="365" t="n">
        <x:f>SUM(D48:F48)</x:f>
        <x:v>2360761.904761905</x:v>
      </x:c>
      <x:c r="H48" s="365" t="n">
        <x:f>G48-C48</x:f>
        <x:v>2234928.5714285714</x:v>
      </x:c>
      <x:c r="I48" s="366" t="n">
        <x:f>1/(1+$B$7)^A48</x:f>
        <x:v>0.656854550109748</x:v>
      </x:c>
      <x:c r="J48" s="365" t="n">
        <x:f>C48*I48</x:f>
        <x:v>82654.19755547662</x:v>
      </x:c>
      <x:c r="K48" s="365" t="n">
        <x:f>G48*I48</x:f>
        <x:v>1550677.1988686128</x:v>
      </x:c>
      <x:c r="L48" s="377" t="n">
        <x:f>H48*I48</x:f>
        <x:v>1468023.0013131362</x:v>
      </x:c>
      <x:c r="M48" s="377" t="n">
        <x:f>M47+H48</x:f>
        <x:v>43857928.571428575</x:v>
      </x:c>
      <x:c r="N48" s="377" t="n">
        <x:f>N47+L48</x:f>
        <x:v>30354320.292321395</x:v>
      </x:c>
      <x:c r="O48" s="364" t="n">
        <x:f>IF(AND(M48&gt;=0,M47&lt;0),A48,0)</x:f>
        <x:v>0</x:v>
      </x:c>
      <x:c r="P48" s="364" t="n">
        <x:f>IF(AND(N48&gt;=0,N47&lt;0),A48,0)</x:f>
        <x:v>0</x:v>
      </x:c>
      <x:c r="Q48" s="364" t="n">
        <x:f>0</x:f>
        <x:v>0</x:v>
      </x:c>
    </x:row>
    <x:row r="49">
      <x:c r="A49" s="367" t="n">
        <x:v>36</x:v>
      </x:c>
      <x:c r="B49" s="374" t="str">
        <x:f>'Денежный поток'!$B$46</x:f>
        <x:v>Эксплуатация</x:v>
      </x:c>
      <x:c r="C49" s="375" t="n">
        <x:f>'Денежный поток'!$F$46</x:f>
        <x:v>125833.33333333333</x:v>
      </x:c>
      <x:c r="D49" s="368" t="n">
        <x:f>IF(A49&gt;'Допущения'!$C$12,'Сравнение'!$D$9/12,0)</x:f>
        <x:v>1752000</x:v>
      </x:c>
      <x:c r="E49" s="368" t="n">
        <x:f>IF(A49&gt;'Допущения'!$C$12,'Сравнение'!$D$13/12,0)</x:f>
        <x:v>571428.5714285715</x:v>
      </x:c>
      <x:c r="F49" s="368" t="n">
        <x:f>IF(A49&gt;'Допущения'!$C$12,'Сравнение'!$D$17/12,0)</x:f>
        <x:v>37333.333333333336</x:v>
      </x:c>
      <x:c r="G49" s="368" t="n">
        <x:f>SUM(D49:F49)</x:f>
        <x:v>2360761.904761905</x:v>
      </x:c>
      <x:c r="H49" s="368" t="n">
        <x:f>G49-C49</x:f>
        <x:v>2234928.5714285714</x:v>
      </x:c>
      <x:c r="I49" s="369" t="n">
        <x:f>1/(1+$B$7)^A49</x:f>
        <x:v>0.6490139733519751</x:v>
      </x:c>
      <x:c r="J49" s="368" t="n">
        <x:f>C49*I49</x:f>
        <x:v>81667.5916467902</x:v>
      </x:c>
      <x:c r="K49" s="368" t="n">
        <x:f>G49*I49</x:f>
        <x:v>1532167.4639475008</x:v>
      </x:c>
      <x:c r="L49" s="378" t="n">
        <x:f>H49*I49</x:f>
        <x:v>1450499.8723007105</x:v>
      </x:c>
      <x:c r="M49" s="378" t="n">
        <x:f>M48+H49</x:f>
        <x:v>46092857.14285715</x:v>
      </x:c>
      <x:c r="N49" s="378" t="n">
        <x:f>N48+L49</x:f>
        <x:v>31804820.164622106</x:v>
      </x:c>
      <x:c r="O49" s="367" t="n">
        <x:f>IF(AND(M49&gt;=0,M48&lt;0),A49,0)</x:f>
        <x:v>0</x:v>
      </x:c>
      <x:c r="P49" s="367" t="n">
        <x:f>IF(AND(N49&gt;=0,N48&lt;0),A49,0)</x:f>
        <x:v>0</x:v>
      </x:c>
      <x:c r="Q49" s="367" t="n">
        <x:f>0</x:f>
        <x:v>0</x:v>
      </x:c>
    </x:row>
    <x:row r="50">
      <x:c r="A50" s="330"/>
      <x:c r="B50" s="330"/>
      <x:c r="C50" s="330"/>
      <x:c r="D50" s="330"/>
      <x:c r="E50" s="330"/>
      <x:c r="F50" s="330"/>
      <x:c r="G50" s="330"/>
      <x:c r="H50" s="330"/>
      <x:c r="I50" s="330"/>
      <x:c r="J50" s="330"/>
      <x:c r="K50" s="330"/>
      <x:c r="L50" s="330"/>
      <x:c r="M50" s="330"/>
      <x:c r="N50" s="330"/>
      <x:c r="O50" s="330"/>
      <x:c r="P50" s="330"/>
      <x:c r="Q50" s="330"/>
    </x:row>
    <x:row r="51">
      <x:c r="A51" s="358" t="str">
        <x:v>Сценарий 2 — НПЗ / МС</x:v>
      </x:c>
      <x:c r="B51" s="358"/>
      <x:c r="C51" s="358"/>
      <x:c r="D51" s="358"/>
      <x:c r="E51" s="358"/>
      <x:c r="F51" s="358"/>
      <x:c r="G51" s="358"/>
      <x:c r="H51" s="358"/>
      <x:c r="I51" s="358"/>
      <x:c r="J51" s="358"/>
      <x:c r="K51" s="358"/>
      <x:c r="L51" s="358"/>
      <x:c r="M51" s="358"/>
      <x:c r="N51" s="358"/>
      <x:c r="O51" s="358"/>
      <x:c r="P51" s="358"/>
      <x:c r="Q51" s="358"/>
    </x:row>
    <x:row r="52">
      <x:c r="A52" s="356" t="str">
        <x:v>Месяц</x:v>
      </x:c>
      <x:c r="B52" s="356" t="str">
        <x:v>Этап</x:v>
      </x:c>
      <x:c r="C52" s="356" t="str">
        <x:v>Затраты</x:v>
      </x:c>
      <x:c r="D52" s="356" t="str">
        <x:v>Эффект труда</x:v>
      </x:c>
      <x:c r="E52" s="356" t="str">
        <x:v>Эффект простоя</x:v>
      </x:c>
      <x:c r="F52" s="356" t="str">
        <x:v>Эффект подключений</x:v>
      </x:c>
      <x:c r="G52" s="356" t="str">
        <x:v>Выгоды</x:v>
      </x:c>
      <x:c r="H52" s="356" t="str">
        <x:v>Чистый поток</x:v>
      </x:c>
      <x:c r="I52" s="356" t="str">
        <x:v>Коэф. диск.</x:v>
      </x:c>
      <x:c r="J52" s="356" t="str">
        <x:v>PV затрат</x:v>
      </x:c>
      <x:c r="K52" s="356" t="str">
        <x:v>PV выгод</x:v>
      </x:c>
      <x:c r="L52" s="356" t="str">
        <x:v>Диск. поток</x:v>
      </x:c>
      <x:c r="M52" s="356" t="str">
        <x:v>Накопленный поток</x:v>
      </x:c>
      <x:c r="N52" s="356" t="str">
        <x:v>CDD</x:v>
      </x:c>
      <x:c r="O52" s="356" t="str">
        <x:v>Флаг PP</x:v>
      </x:c>
      <x:c r="P52" s="356" t="str">
        <x:v>Флаг DPP</x:v>
      </x:c>
      <x:c r="Q52" s="356" t="str">
        <x:v>Нулевая линия</x:v>
      </x:c>
    </x:row>
    <x:row r="53">
      <x:c r="A53" s="361" t="n">
        <x:v>0</x:v>
      </x:c>
      <x:c r="B53" s="370" t="str">
        <x:f>'Денежный поток'!$B$10</x:f>
        <x:v>Старт</x:v>
      </x:c>
      <x:c r="C53" s="371" t="n">
        <x:f>'Денежный поток'!$F$10</x:f>
        <x:v>4155000</x:v>
      </x:c>
      <x:c r="D53" s="362" t="n">
        <x:f>IF(A53&gt;'Допущения'!$C$12,'Сравнение'!$H$9/12,0)</x:f>
        <x:v>0</x:v>
      </x:c>
      <x:c r="E53" s="362" t="n">
        <x:f>IF(A53&gt;'Допущения'!$C$12,'Сравнение'!$H$13/12,0)</x:f>
        <x:v>0</x:v>
      </x:c>
      <x:c r="F53" s="362" t="n">
        <x:f>IF(A53&gt;'Допущения'!$C$12,'Сравнение'!$H$17/12,0)</x:f>
        <x:v>0</x:v>
      </x:c>
      <x:c r="G53" s="362" t="n">
        <x:f>SUM(D53:F53)</x:f>
        <x:v>0</x:v>
      </x:c>
      <x:c r="H53" s="362" t="n">
        <x:f>G53-C53</x:f>
        <x:v>-4155000</x:v>
      </x:c>
      <x:c r="I53" s="363" t="n">
        <x:f>1/(1+$B$7)^A53</x:f>
        <x:v>1</x:v>
      </x:c>
      <x:c r="J53" s="362" t="n">
        <x:f>C53*I53</x:f>
        <x:v>4155000</x:v>
      </x:c>
      <x:c r="K53" s="362" t="n">
        <x:f>G53*I53</x:f>
        <x:v>0</x:v>
      </x:c>
      <x:c r="L53" s="376" t="n">
        <x:f>H53*I53</x:f>
        <x:v>-4155000</x:v>
      </x:c>
      <x:c r="M53" s="376" t="n">
        <x:f>H53</x:f>
        <x:v>-4155000</x:v>
      </x:c>
      <x:c r="N53" s="376" t="n">
        <x:f>L53</x:f>
        <x:v>-4155000</x:v>
      </x:c>
      <x:c r="O53" s="361" t="n">
        <x:f>0</x:f>
        <x:v>0</x:v>
      </x:c>
      <x:c r="P53" s="361" t="n">
        <x:f>0</x:f>
        <x:v>0</x:v>
      </x:c>
      <x:c r="Q53" s="361" t="n">
        <x:f>0</x:f>
        <x:v>0</x:v>
      </x:c>
    </x:row>
    <x:row r="54">
      <x:c r="A54" s="364" t="n">
        <x:v>1</x:v>
      </x:c>
      <x:c r="B54" s="372" t="str">
        <x:f>'Денежный поток'!$B$11</x:f>
        <x:v>Разработка</x:v>
      </x:c>
      <x:c r="C54" s="373" t="n">
        <x:f>'Денежный поток'!$F$11</x:f>
        <x:v>2800000</x:v>
      </x:c>
      <x:c r="D54" s="365" t="n">
        <x:f>IF(A54&gt;'Допущения'!$C$12,'Сравнение'!$H$9/12,0)</x:f>
        <x:v>0</x:v>
      </x:c>
      <x:c r="E54" s="365" t="n">
        <x:f>IF(A54&gt;'Допущения'!$C$12,'Сравнение'!$H$13/12,0)</x:f>
        <x:v>0</x:v>
      </x:c>
      <x:c r="F54" s="365" t="n">
        <x:f>IF(A54&gt;'Допущения'!$C$12,'Сравнение'!$H$17/12,0)</x:f>
        <x:v>0</x:v>
      </x:c>
      <x:c r="G54" s="365" t="n">
        <x:f>SUM(D54:F54)</x:f>
        <x:v>0</x:v>
      </x:c>
      <x:c r="H54" s="365" t="n">
        <x:f>G54-C54</x:f>
        <x:v>-2800000</x:v>
      </x:c>
      <x:c r="I54" s="366" t="n">
        <x:f>1/(1+$B$7)^A54</x:f>
        <x:v>0.9880634506429729</x:v>
      </x:c>
      <x:c r="J54" s="365" t="n">
        <x:f>C54*I54</x:f>
        <x:v>2766577.661800324</x:v>
      </x:c>
      <x:c r="K54" s="365" t="n">
        <x:f>G54*I54</x:f>
        <x:v>0</x:v>
      </x:c>
      <x:c r="L54" s="377" t="n">
        <x:f>H54*I54</x:f>
        <x:v>-2766577.661800324</x:v>
      </x:c>
      <x:c r="M54" s="377" t="n">
        <x:f>M53+H54</x:f>
        <x:v>-6955000</x:v>
      </x:c>
      <x:c r="N54" s="377" t="n">
        <x:f>N53+L54</x:f>
        <x:v>-6921577.661800324</x:v>
      </x:c>
      <x:c r="O54" s="364" t="n">
        <x:f>IF(AND(M54&gt;=0,M53&lt;0),A54,0)</x:f>
        <x:v>0</x:v>
      </x:c>
      <x:c r="P54" s="364" t="n">
        <x:f>IF(AND(N54&gt;=0,N53&lt;0),A54,0)</x:f>
        <x:v>0</x:v>
      </x:c>
      <x:c r="Q54" s="364" t="n">
        <x:f>0</x:f>
        <x:v>0</x:v>
      </x:c>
    </x:row>
    <x:row r="55">
      <x:c r="A55" s="364" t="n">
        <x:v>2</x:v>
      </x:c>
      <x:c r="B55" s="372" t="str">
        <x:f>'Денежный поток'!$B$12</x:f>
        <x:v>Разработка</x:v>
      </x:c>
      <x:c r="C55" s="373" t="n">
        <x:f>'Денежный поток'!$F$12</x:f>
        <x:v>2800000</x:v>
      </x:c>
      <x:c r="D55" s="365" t="n">
        <x:f>IF(A55&gt;'Допущения'!$C$12,'Сравнение'!$H$9/12,0)</x:f>
        <x:v>0</x:v>
      </x:c>
      <x:c r="E55" s="365" t="n">
        <x:f>IF(A55&gt;'Допущения'!$C$12,'Сравнение'!$H$13/12,0)</x:f>
        <x:v>0</x:v>
      </x:c>
      <x:c r="F55" s="365" t="n">
        <x:f>IF(A55&gt;'Допущения'!$C$12,'Сравнение'!$H$17/12,0)</x:f>
        <x:v>0</x:v>
      </x:c>
      <x:c r="G55" s="365" t="n">
        <x:f>SUM(D55:F55)</x:f>
        <x:v>0</x:v>
      </x:c>
      <x:c r="H55" s="365" t="n">
        <x:f>G55-C55</x:f>
        <x:v>-2800000</x:v>
      </x:c>
      <x:c r="I55" s="366" t="n">
        <x:f>1/(1+$B$7)^A55</x:f>
        <x:v>0.9762693824964985</x:v>
      </x:c>
      <x:c r="J55" s="365" t="n">
        <x:f>C55*I55</x:f>
        <x:v>2733554.2709901957</x:v>
      </x:c>
      <x:c r="K55" s="365" t="n">
        <x:f>G55*I55</x:f>
        <x:v>0</x:v>
      </x:c>
      <x:c r="L55" s="377" t="n">
        <x:f>H55*I55</x:f>
        <x:v>-2733554.2709901957</x:v>
      </x:c>
      <x:c r="M55" s="377" t="n">
        <x:f>M54+H55</x:f>
        <x:v>-9755000</x:v>
      </x:c>
      <x:c r="N55" s="377" t="n">
        <x:f>N54+L55</x:f>
        <x:v>-9655131.93279052</x:v>
      </x:c>
      <x:c r="O55" s="364" t="n">
        <x:f>IF(AND(M55&gt;=0,M54&lt;0),A55,0)</x:f>
        <x:v>0</x:v>
      </x:c>
      <x:c r="P55" s="364" t="n">
        <x:f>IF(AND(N55&gt;=0,N54&lt;0),A55,0)</x:f>
        <x:v>0</x:v>
      </x:c>
      <x:c r="Q55" s="364" t="n">
        <x:f>0</x:f>
        <x:v>0</x:v>
      </x:c>
    </x:row>
    <x:row r="56">
      <x:c r="A56" s="364" t="n">
        <x:v>3</x:v>
      </x:c>
      <x:c r="B56" s="372" t="str">
        <x:f>'Денежный поток'!$B$13</x:f>
        <x:v>Разработка</x:v>
      </x:c>
      <x:c r="C56" s="373" t="n">
        <x:f>'Денежный поток'!$F$13</x:f>
        <x:v>2800000</x:v>
      </x:c>
      <x:c r="D56" s="365" t="n">
        <x:f>IF(A56&gt;'Допущения'!$C$12,'Сравнение'!$H$9/12,0)</x:f>
        <x:v>0</x:v>
      </x:c>
      <x:c r="E56" s="365" t="n">
        <x:f>IF(A56&gt;'Допущения'!$C$12,'Сравнение'!$H$13/12,0)</x:f>
        <x:v>0</x:v>
      </x:c>
      <x:c r="F56" s="365" t="n">
        <x:f>IF(A56&gt;'Допущения'!$C$12,'Сравнение'!$H$17/12,0)</x:f>
        <x:v>0</x:v>
      </x:c>
      <x:c r="G56" s="365" t="n">
        <x:f>SUM(D56:F56)</x:f>
        <x:v>0</x:v>
      </x:c>
      <x:c r="H56" s="365" t="n">
        <x:f>G56-C56</x:f>
        <x:v>-2800000</x:v>
      </x:c>
      <x:c r="I56" s="366" t="n">
        <x:f>1/(1+$B$7)^A56</x:f>
        <x:v>0.9646160948265746</x:v>
      </x:c>
      <x:c r="J56" s="365" t="n">
        <x:f>C56*I56</x:f>
        <x:v>2700925.065514409</x:v>
      </x:c>
      <x:c r="K56" s="365" t="n">
        <x:f>G56*I56</x:f>
        <x:v>0</x:v>
      </x:c>
      <x:c r="L56" s="377" t="n">
        <x:f>H56*I56</x:f>
        <x:v>-2700925.065514409</x:v>
      </x:c>
      <x:c r="M56" s="377" t="n">
        <x:f>M55+H56</x:f>
        <x:v>-12555000</x:v>
      </x:c>
      <x:c r="N56" s="377" t="n">
        <x:f>N55+L56</x:f>
        <x:v>-12356056.99830493</x:v>
      </x:c>
      <x:c r="O56" s="364" t="n">
        <x:f>IF(AND(M56&gt;=0,M55&lt;0),A56,0)</x:f>
        <x:v>0</x:v>
      </x:c>
      <x:c r="P56" s="364" t="n">
        <x:f>IF(AND(N56&gt;=0,N55&lt;0),A56,0)</x:f>
        <x:v>0</x:v>
      </x:c>
      <x:c r="Q56" s="364" t="n">
        <x:f>0</x:f>
        <x:v>0</x:v>
      </x:c>
    </x:row>
    <x:row r="57">
      <x:c r="A57" s="364" t="n">
        <x:v>4</x:v>
      </x:c>
      <x:c r="B57" s="372" t="str">
        <x:f>'Денежный поток'!$B$14</x:f>
        <x:v>Разработка</x:v>
      </x:c>
      <x:c r="C57" s="373" t="n">
        <x:f>'Денежный поток'!$F$14</x:f>
        <x:v>2800000</x:v>
      </x:c>
      <x:c r="D57" s="365" t="n">
        <x:f>IF(A57&gt;'Допущения'!$C$12,'Сравнение'!$H$9/12,0)</x:f>
        <x:v>0</x:v>
      </x:c>
      <x:c r="E57" s="365" t="n">
        <x:f>IF(A57&gt;'Допущения'!$C$12,'Сравнение'!$H$13/12,0)</x:f>
        <x:v>0</x:v>
      </x:c>
      <x:c r="F57" s="365" t="n">
        <x:f>IF(A57&gt;'Допущения'!$C$12,'Сравнение'!$H$17/12,0)</x:f>
        <x:v>0</x:v>
      </x:c>
      <x:c r="G57" s="365" t="n">
        <x:f>SUM(D57:F57)</x:f>
        <x:v>0</x:v>
      </x:c>
      <x:c r="H57" s="365" t="n">
        <x:f>G57-C57</x:f>
        <x:v>-2800000</x:v>
      </x:c>
      <x:c r="I57" s="366" t="n">
        <x:f>1/(1+$B$7)^A57</x:f>
        <x:v>0.9531019072000946</x:v>
      </x:c>
      <x:c r="J57" s="365" t="n">
        <x:f>C57*I57</x:f>
        <x:v>2668685.3401602646</x:v>
      </x:c>
      <x:c r="K57" s="365" t="n">
        <x:f>G57*I57</x:f>
        <x:v>0</x:v>
      </x:c>
      <x:c r="L57" s="377" t="n">
        <x:f>H57*I57</x:f>
        <x:v>-2668685.3401602646</x:v>
      </x:c>
      <x:c r="M57" s="377" t="n">
        <x:f>M56+H57</x:f>
        <x:v>-15355000</x:v>
      </x:c>
      <x:c r="N57" s="377" t="n">
        <x:f>N56+L57</x:f>
        <x:v>-15024742.338465195</x:v>
      </x:c>
      <x:c r="O57" s="364" t="n">
        <x:f>IF(AND(M57&gt;=0,M56&lt;0),A57,0)</x:f>
        <x:v>0</x:v>
      </x:c>
      <x:c r="P57" s="364" t="n">
        <x:f>IF(AND(N57&gt;=0,N56&lt;0),A57,0)</x:f>
        <x:v>0</x:v>
      </x:c>
      <x:c r="Q57" s="364" t="n">
        <x:f>0</x:f>
        <x:v>0</x:v>
      </x:c>
    </x:row>
    <x:row r="58">
      <x:c r="A58" s="364" t="n">
        <x:v>5</x:v>
      </x:c>
      <x:c r="B58" s="372" t="str">
        <x:f>'Денежный поток'!$B$15</x:f>
        <x:v>Разработка</x:v>
      </x:c>
      <x:c r="C58" s="373" t="n">
        <x:f>'Денежный поток'!$F$15</x:f>
        <x:v>2800000</x:v>
      </x:c>
      <x:c r="D58" s="365" t="n">
        <x:f>IF(A58&gt;'Допущения'!$C$12,'Сравнение'!$H$9/12,0)</x:f>
        <x:v>0</x:v>
      </x:c>
      <x:c r="E58" s="365" t="n">
        <x:f>IF(A58&gt;'Допущения'!$C$12,'Сравнение'!$H$13/12,0)</x:f>
        <x:v>0</x:v>
      </x:c>
      <x:c r="F58" s="365" t="n">
        <x:f>IF(A58&gt;'Допущения'!$C$12,'Сравнение'!$H$17/12,0)</x:f>
        <x:v>0</x:v>
      </x:c>
      <x:c r="G58" s="365" t="n">
        <x:f>SUM(D58:F58)</x:f>
        <x:v>0</x:v>
      </x:c>
      <x:c r="H58" s="365" t="n">
        <x:f>G58-C58</x:f>
        <x:v>-2800000</x:v>
      </x:c>
      <x:c r="I58" s="366" t="n">
        <x:f>1/(1+$B$7)^A58</x:f>
        <x:v>0.9417251592425239</x:v>
      </x:c>
      <x:c r="J58" s="365" t="n">
        <x:f>C58*I58</x:f>
        <x:v>2636830.445879067</x:v>
      </x:c>
      <x:c r="K58" s="365" t="n">
        <x:f>G58*I58</x:f>
        <x:v>0</x:v>
      </x:c>
      <x:c r="L58" s="377" t="n">
        <x:f>H58*I58</x:f>
        <x:v>-2636830.445879067</x:v>
      </x:c>
      <x:c r="M58" s="377" t="n">
        <x:f>M57+H58</x:f>
        <x:v>-18155000</x:v>
      </x:c>
      <x:c r="N58" s="377" t="n">
        <x:f>N57+L58</x:f>
        <x:v>-17661572.784344263</x:v>
      </x:c>
      <x:c r="O58" s="364" t="n">
        <x:f>IF(AND(M58&gt;=0,M57&lt;0),A58,0)</x:f>
        <x:v>0</x:v>
      </x:c>
      <x:c r="P58" s="364" t="n">
        <x:f>IF(AND(N58&gt;=0,N57&lt;0),A58,0)</x:f>
        <x:v>0</x:v>
      </x:c>
      <x:c r="Q58" s="364" t="n">
        <x:f>0</x:f>
        <x:v>0</x:v>
      </x:c>
    </x:row>
    <x:row r="59">
      <x:c r="A59" s="379" t="n">
        <x:v>6</x:v>
      </x:c>
      <x:c r="B59" s="380" t="str">
        <x:f>'Денежный поток'!$B$16</x:f>
        <x:v>Разработка</x:v>
      </x:c>
      <x:c r="C59" s="381" t="n">
        <x:f>'Денежный поток'!$F$16</x:f>
        <x:v>2800000</x:v>
      </x:c>
      <x:c r="D59" s="382" t="n">
        <x:f>IF(A59&gt;'Допущения'!$C$12,'Сравнение'!$H$9/12,0)</x:f>
        <x:v>0</x:v>
      </x:c>
      <x:c r="E59" s="382" t="n">
        <x:f>IF(A59&gt;'Допущения'!$C$12,'Сравнение'!$H$13/12,0)</x:f>
        <x:v>0</x:v>
      </x:c>
      <x:c r="F59" s="382" t="n">
        <x:f>IF(A59&gt;'Допущения'!$C$12,'Сравнение'!$H$17/12,0)</x:f>
        <x:v>0</x:v>
      </x:c>
      <x:c r="G59" s="382" t="n">
        <x:f>SUM(D59:F59)</x:f>
        <x:v>0</x:v>
      </x:c>
      <x:c r="H59" s="382" t="n">
        <x:f>G59-C59</x:f>
        <x:v>-2800000</x:v>
      </x:c>
      <x:c r="I59" s="383" t="n">
        <x:f>1/(1+$B$7)^A59</x:f>
        <x:v>0.9304842103984714</x:v>
      </x:c>
      <x:c r="J59" s="382" t="n">
        <x:f>C59*I59</x:f>
        <x:v>2605355.78911572</x:v>
      </x:c>
      <x:c r="K59" s="382" t="n">
        <x:f>G59*I59</x:f>
        <x:v>0</x:v>
      </x:c>
      <x:c r="L59" s="382" t="n">
        <x:f>H59*I59</x:f>
        <x:v>-2605355.78911572</x:v>
      </x:c>
      <x:c r="M59" s="382" t="n">
        <x:f>M58+H59</x:f>
        <x:v>-20955000</x:v>
      </x:c>
      <x:c r="N59" s="382" t="n">
        <x:f>N58+L59</x:f>
        <x:v>-20266928.573459983</x:v>
      </x:c>
      <x:c r="O59" s="379" t="n">
        <x:f>IF(AND(M59&gt;=0,M58&lt;0),A59,0)</x:f>
        <x:v>0</x:v>
      </x:c>
      <x:c r="P59" s="379" t="n">
        <x:f>IF(AND(N59&gt;=0,N58&lt;0),A59,0)</x:f>
        <x:v>0</x:v>
      </x:c>
      <x:c r="Q59" s="379" t="n">
        <x:f>0</x:f>
        <x:v>0</x:v>
      </x:c>
    </x:row>
    <x:row r="60">
      <x:c r="A60" s="364" t="n">
        <x:v>7</x:v>
      </x:c>
      <x:c r="B60" s="372" t="str">
        <x:f>'Денежный поток'!$B$17</x:f>
        <x:v>Эксплуатация</x:v>
      </x:c>
      <x:c r="C60" s="373" t="n">
        <x:f>'Денежный поток'!$F$17</x:f>
        <x:v>125833.33333333333</x:v>
      </x:c>
      <x:c r="D60" s="365" t="n">
        <x:f>IF(A60&gt;'Допущения'!$C$12,'Сравнение'!$H$9/12,0)</x:f>
        <x:v>730000</x:v>
      </x:c>
      <x:c r="E60" s="365" t="n">
        <x:f>IF(A60&gt;'Допущения'!$C$12,'Сравнение'!$H$13/12,0)</x:f>
        <x:v>520833.3333333333</x:v>
      </x:c>
      <x:c r="F60" s="365" t="n">
        <x:f>IF(A60&gt;'Допущения'!$C$12,'Сравнение'!$H$17/12,0)</x:f>
        <x:v>18666.666666666668</x:v>
      </x:c>
      <x:c r="G60" s="365" t="n">
        <x:f>SUM(D60:F60)</x:f>
        <x:v>1269500</x:v>
      </x:c>
      <x:c r="H60" s="365" t="n">
        <x:f>G60-C60</x:f>
        <x:v>1143666.6666666667</x:v>
      </x:c>
      <x:c r="I60" s="366" t="n">
        <x:f>1/(1+$B$7)^A60</x:f>
        <x:v>0.9193774396951155</x:v>
      </x:c>
      <x:c r="J60" s="365" t="n">
        <x:f>C60*I60</x:f>
        <x:v>115688.32782830203</x:v>
      </x:c>
      <x:c r="K60" s="365" t="n">
        <x:f>G60*I60</x:f>
        <x:v>1167149.6596929491</x:v>
      </x:c>
      <x:c r="L60" s="377" t="n">
        <x:f>H60*I60</x:f>
        <x:v>1051461.331864647</x:v>
      </x:c>
      <x:c r="M60" s="377" t="n">
        <x:f>M59+H60</x:f>
        <x:v>-19811333.333333332</x:v>
      </x:c>
      <x:c r="N60" s="377" t="n">
        <x:f>N59+L60</x:f>
        <x:v>-19215467.241595335</x:v>
      </x:c>
      <x:c r="O60" s="364" t="n">
        <x:f>IF(AND(M60&gt;=0,M59&lt;0),A60,0)</x:f>
        <x:v>0</x:v>
      </x:c>
      <x:c r="P60" s="364" t="n">
        <x:f>IF(AND(N60&gt;=0,N59&lt;0),A60,0)</x:f>
        <x:v>0</x:v>
      </x:c>
      <x:c r="Q60" s="364" t="n">
        <x:f>0</x:f>
        <x:v>0</x:v>
      </x:c>
    </x:row>
    <x:row r="61">
      <x:c r="A61" s="364" t="n">
        <x:v>8</x:v>
      </x:c>
      <x:c r="B61" s="372" t="str">
        <x:f>'Денежный поток'!$B$18</x:f>
        <x:v>Эксплуатация</x:v>
      </x:c>
      <x:c r="C61" s="373" t="n">
        <x:f>'Денежный поток'!$F$18</x:f>
        <x:v>125833.33333333333</x:v>
      </x:c>
      <x:c r="D61" s="365" t="n">
        <x:f>IF(A61&gt;'Допущения'!$C$12,'Сравнение'!$H$9/12,0)</x:f>
        <x:v>730000</x:v>
      </x:c>
      <x:c r="E61" s="365" t="n">
        <x:f>IF(A61&gt;'Допущения'!$C$12,'Сравнение'!$H$13/12,0)</x:f>
        <x:v>520833.3333333333</x:v>
      </x:c>
      <x:c r="F61" s="365" t="n">
        <x:f>IF(A61&gt;'Допущения'!$C$12,'Сравнение'!$H$17/12,0)</x:f>
        <x:v>18666.666666666668</x:v>
      </x:c>
      <x:c r="G61" s="365" t="n">
        <x:f>SUM(D61:F61)</x:f>
        <x:v>1269500</x:v>
      </x:c>
      <x:c r="H61" s="365" t="n">
        <x:f>G61-C61</x:f>
        <x:v>1143666.6666666667</x:v>
      </x:c>
      <x:c r="I61" s="366" t="n">
        <x:f>1/(1+$B$7)^A61</x:f>
        <x:v>0.9084032455084576</x:v>
      </x:c>
      <x:c r="J61" s="365" t="n">
        <x:f>C61*I61</x:f>
        <x:v>114307.40839314758</x:v>
      </x:c>
      <x:c r="K61" s="365" t="n">
        <x:f>G61*I61</x:f>
        <x:v>1153217.920172987</x:v>
      </x:c>
      <x:c r="L61" s="377" t="n">
        <x:f>H61*I61</x:f>
        <x:v>1038910.5117798394</x:v>
      </x:c>
      <x:c r="M61" s="377" t="n">
        <x:f>M60+H61</x:f>
        <x:v>-18667666.666666664</x:v>
      </x:c>
      <x:c r="N61" s="377" t="n">
        <x:f>N60+L61</x:f>
        <x:v>-18176556.729815494</x:v>
      </x:c>
      <x:c r="O61" s="364" t="n">
        <x:f>IF(AND(M61&gt;=0,M60&lt;0),A61,0)</x:f>
        <x:v>0</x:v>
      </x:c>
      <x:c r="P61" s="364" t="n">
        <x:f>IF(AND(N61&gt;=0,N60&lt;0),A61,0)</x:f>
        <x:v>0</x:v>
      </x:c>
      <x:c r="Q61" s="364" t="n">
        <x:f>0</x:f>
        <x:v>0</x:v>
      </x:c>
    </x:row>
    <x:row r="62">
      <x:c r="A62" s="364" t="n">
        <x:v>9</x:v>
      </x:c>
      <x:c r="B62" s="372" t="str">
        <x:f>'Денежный поток'!$B$19</x:f>
        <x:v>Эксплуатация</x:v>
      </x:c>
      <x:c r="C62" s="373" t="n">
        <x:f>'Денежный поток'!$F$19</x:f>
        <x:v>125833.33333333333</x:v>
      </x:c>
      <x:c r="D62" s="365" t="n">
        <x:f>IF(A62&gt;'Допущения'!$C$12,'Сравнение'!$H$9/12,0)</x:f>
        <x:v>730000</x:v>
      </x:c>
      <x:c r="E62" s="365" t="n">
        <x:f>IF(A62&gt;'Допущения'!$C$12,'Сравнение'!$H$13/12,0)</x:f>
        <x:v>520833.3333333333</x:v>
      </x:c>
      <x:c r="F62" s="365" t="n">
        <x:f>IF(A62&gt;'Допущения'!$C$12,'Сравнение'!$H$17/12,0)</x:f>
        <x:v>18666.666666666668</x:v>
      </x:c>
      <x:c r="G62" s="365" t="n">
        <x:f>SUM(D62:F62)</x:f>
        <x:v>1269500</x:v>
      </x:c>
      <x:c r="H62" s="365" t="n">
        <x:f>G62-C62</x:f>
        <x:v>1143666.6666666667</x:v>
      </x:c>
      <x:c r="I62" s="366" t="n">
        <x:f>1/(1+$B$7)^A62</x:f>
        <x:v>0.8975600453323623</x:v>
      </x:c>
      <x:c r="J62" s="365" t="n">
        <x:f>C62*I62</x:f>
        <x:v>112942.97237098892</x:v>
      </x:c>
      <x:c r="K62" s="365" t="n">
        <x:f>G62*I62</x:f>
        <x:v>1139452.477549434</x:v>
      </x:c>
      <x:c r="L62" s="377" t="n">
        <x:f>H62*I62</x:f>
        <x:v>1026509.5051784451</x:v>
      </x:c>
      <x:c r="M62" s="377" t="n">
        <x:f>M61+H62</x:f>
        <x:v>-17523999.999999996</x:v>
      </x:c>
      <x:c r="N62" s="377" t="n">
        <x:f>N61+L62</x:f>
        <x:v>-17150047.22463705</x:v>
      </x:c>
      <x:c r="O62" s="364" t="n">
        <x:f>IF(AND(M62&gt;=0,M61&lt;0),A62,0)</x:f>
        <x:v>0</x:v>
      </x:c>
      <x:c r="P62" s="364" t="n">
        <x:f>IF(AND(N62&gt;=0,N61&lt;0),A62,0)</x:f>
        <x:v>0</x:v>
      </x:c>
      <x:c r="Q62" s="364" t="n">
        <x:f>0</x:f>
        <x:v>0</x:v>
      </x:c>
    </x:row>
    <x:row r="63">
      <x:c r="A63" s="364" t="n">
        <x:v>10</x:v>
      </x:c>
      <x:c r="B63" s="372" t="str">
        <x:f>'Денежный поток'!$B$20</x:f>
        <x:v>Эксплуатация</x:v>
      </x:c>
      <x:c r="C63" s="373" t="n">
        <x:f>'Денежный поток'!$F$20</x:f>
        <x:v>125833.33333333333</x:v>
      </x:c>
      <x:c r="D63" s="365" t="n">
        <x:f>IF(A63&gt;'Допущения'!$C$12,'Сравнение'!$H$9/12,0)</x:f>
        <x:v>730000</x:v>
      </x:c>
      <x:c r="E63" s="365" t="n">
        <x:f>IF(A63&gt;'Допущения'!$C$12,'Сравнение'!$H$13/12,0)</x:f>
        <x:v>520833.3333333333</x:v>
      </x:c>
      <x:c r="F63" s="365" t="n">
        <x:f>IF(A63&gt;'Допущения'!$C$12,'Сравнение'!$H$17/12,0)</x:f>
        <x:v>18666.666666666668</x:v>
      </x:c>
      <x:c r="G63" s="365" t="n">
        <x:f>SUM(D63:F63)</x:f>
        <x:v>1269500</x:v>
      </x:c>
      <x:c r="H63" s="365" t="n">
        <x:f>G63-C63</x:f>
        <x:v>1143666.6666666667</x:v>
      </x:c>
      <x:c r="I63" s="366" t="n">
        <x:f>1/(1+$B$7)^A63</x:f>
        <x:v>0.8868462755503571</x:v>
      </x:c>
      <x:c r="J63" s="365" t="n">
        <x:f>C63*I63</x:f>
        <x:v>111594.82300675327</x:v>
      </x:c>
      <x:c r="K63" s="365" t="n">
        <x:f>G63*I63</x:f>
        <x:v>1125851.3468111784</x:v>
      </x:c>
      <x:c r="L63" s="377" t="n">
        <x:f>H63*I63</x:f>
        <x:v>1014256.5238044251</x:v>
      </x:c>
      <x:c r="M63" s="377" t="n">
        <x:f>M62+H63</x:f>
        <x:v>-16380333.33333333</x:v>
      </x:c>
      <x:c r="N63" s="377" t="n">
        <x:f>N62+L63</x:f>
        <x:v>-16135790.700832626</x:v>
      </x:c>
      <x:c r="O63" s="364" t="n">
        <x:f>IF(AND(M63&gt;=0,M62&lt;0),A63,0)</x:f>
        <x:v>0</x:v>
      </x:c>
      <x:c r="P63" s="364" t="n">
        <x:f>IF(AND(N63&gt;=0,N62&lt;0),A63,0)</x:f>
        <x:v>0</x:v>
      </x:c>
      <x:c r="Q63" s="364" t="n">
        <x:f>0</x:f>
        <x:v>0</x:v>
      </x:c>
    </x:row>
    <x:row r="64">
      <x:c r="A64" s="364" t="n">
        <x:v>11</x:v>
      </x:c>
      <x:c r="B64" s="372" t="str">
        <x:f>'Денежный поток'!$B$21</x:f>
        <x:v>Эксплуатация</x:v>
      </x:c>
      <x:c r="C64" s="373" t="n">
        <x:f>'Денежный поток'!$F$21</x:f>
        <x:v>125833.33333333333</x:v>
      </x:c>
      <x:c r="D64" s="365" t="n">
        <x:f>IF(A64&gt;'Допущения'!$C$12,'Сравнение'!$H$9/12,0)</x:f>
        <x:v>730000</x:v>
      </x:c>
      <x:c r="E64" s="365" t="n">
        <x:f>IF(A64&gt;'Допущения'!$C$12,'Сравнение'!$H$13/12,0)</x:f>
        <x:v>520833.3333333333</x:v>
      </x:c>
      <x:c r="F64" s="365" t="n">
        <x:f>IF(A64&gt;'Допущения'!$C$12,'Сравнение'!$H$17/12,0)</x:f>
        <x:v>18666.666666666668</x:v>
      </x:c>
      <x:c r="G64" s="365" t="n">
        <x:f>SUM(D64:F64)</x:f>
        <x:v>1269500</x:v>
      </x:c>
      <x:c r="H64" s="365" t="n">
        <x:f>G64-C64</x:f>
        <x:v>1143666.6666666667</x:v>
      </x:c>
      <x:c r="I64" s="366" t="n">
        <x:f>1/(1+$B$7)^A64</x:f>
        <x:v>0.8762603912101546</x:v>
      </x:c>
      <x:c r="J64" s="365" t="n">
        <x:f>C64*I64</x:f>
        <x:v>110262.76589394445</x:v>
      </x:c>
      <x:c r="K64" s="365" t="n">
        <x:f>G64*I64</x:f>
        <x:v>1112412.5666412914</x:v>
      </x:c>
      <x:c r="L64" s="377" t="n">
        <x:f>H64*I64</x:f>
        <x:v>1002149.800747347</x:v>
      </x:c>
      <x:c r="M64" s="377" t="n">
        <x:f>M63+H64</x:f>
        <x:v>-15236666.666666664</x:v>
      </x:c>
      <x:c r="N64" s="377" t="n">
        <x:f>N63+L64</x:f>
        <x:v>-15133640.90008528</x:v>
      </x:c>
      <x:c r="O64" s="364" t="n">
        <x:f>IF(AND(M64&gt;=0,M63&lt;0),A64,0)</x:f>
        <x:v>0</x:v>
      </x:c>
      <x:c r="P64" s="364" t="n">
        <x:f>IF(AND(N64&gt;=0,N63&lt;0),A64,0)</x:f>
        <x:v>0</x:v>
      </x:c>
      <x:c r="Q64" s="364" t="n">
        <x:f>0</x:f>
        <x:v>0</x:v>
      </x:c>
    </x:row>
    <x:row r="65">
      <x:c r="A65" s="364" t="n">
        <x:v>12</x:v>
      </x:c>
      <x:c r="B65" s="372" t="str">
        <x:f>'Денежный поток'!$B$22</x:f>
        <x:v>Эксплуатация</x:v>
      </x:c>
      <x:c r="C65" s="373" t="n">
        <x:f>'Денежный поток'!$F$22</x:f>
        <x:v>125833.33333333333</x:v>
      </x:c>
      <x:c r="D65" s="365" t="n">
        <x:f>IF(A65&gt;'Допущения'!$C$12,'Сравнение'!$H$9/12,0)</x:f>
        <x:v>730000</x:v>
      </x:c>
      <x:c r="E65" s="365" t="n">
        <x:f>IF(A65&gt;'Допущения'!$C$12,'Сравнение'!$H$13/12,0)</x:f>
        <x:v>520833.3333333333</x:v>
      </x:c>
      <x:c r="F65" s="365" t="n">
        <x:f>IF(A65&gt;'Допущения'!$C$12,'Сравнение'!$H$17/12,0)</x:f>
        <x:v>18666.666666666668</x:v>
      </x:c>
      <x:c r="G65" s="365" t="n">
        <x:f>SUM(D65:F65)</x:f>
        <x:v>1269500</x:v>
      </x:c>
      <x:c r="H65" s="365" t="n">
        <x:f>G65-C65</x:f>
        <x:v>1143666.6666666667</x:v>
      </x:c>
      <x:c r="I65" s="366" t="n">
        <x:f>1/(1+$B$7)^A65</x:f>
        <x:v>0.8658008658008668</x:v>
      </x:c>
      <x:c r="J65" s="365" t="n">
        <x:f>C65*I65</x:f>
        <x:v>108946.60894660906</x:v>
      </x:c>
      <x:c r="K65" s="365" t="n">
        <x:f>G65*I65</x:f>
        <x:v>1099134.1991342003</x:v>
      </x:c>
      <x:c r="L65" s="377" t="n">
        <x:f>H65*I65</x:f>
        <x:v>990187.5901875914</x:v>
      </x:c>
      <x:c r="M65" s="377" t="n">
        <x:f>M64+H65</x:f>
        <x:v>-14092999.999999998</x:v>
      </x:c>
      <x:c r="N65" s="377" t="n">
        <x:f>N64+L65</x:f>
        <x:v>-14143453.30989769</x:v>
      </x:c>
      <x:c r="O65" s="364" t="n">
        <x:f>IF(AND(M65&gt;=0,M64&lt;0),A65,0)</x:f>
        <x:v>0</x:v>
      </x:c>
      <x:c r="P65" s="364" t="n">
        <x:f>IF(AND(N65&gt;=0,N64&lt;0),A65,0)</x:f>
        <x:v>0</x:v>
      </x:c>
      <x:c r="Q65" s="364" t="n">
        <x:f>0</x:f>
        <x:v>0</x:v>
      </x:c>
    </x:row>
    <x:row r="66">
      <x:c r="A66" s="364" t="n">
        <x:v>13</x:v>
      </x:c>
      <x:c r="B66" s="372" t="str">
        <x:f>'Денежный поток'!$B$23</x:f>
        <x:v>Эксплуатация</x:v>
      </x:c>
      <x:c r="C66" s="373" t="n">
        <x:f>'Денежный поток'!$F$23</x:f>
        <x:v>125833.33333333333</x:v>
      </x:c>
      <x:c r="D66" s="365" t="n">
        <x:f>IF(A66&gt;'Допущения'!$C$12,'Сравнение'!$H$9/12,0)</x:f>
        <x:v>730000</x:v>
      </x:c>
      <x:c r="E66" s="365" t="n">
        <x:f>IF(A66&gt;'Допущения'!$C$12,'Сравнение'!$H$13/12,0)</x:f>
        <x:v>520833.3333333333</x:v>
      </x:c>
      <x:c r="F66" s="365" t="n">
        <x:f>IF(A66&gt;'Допущения'!$C$12,'Сравнение'!$H$17/12,0)</x:f>
        <x:v>18666.666666666668</x:v>
      </x:c>
      <x:c r="G66" s="365" t="n">
        <x:f>SUM(D66:F66)</x:f>
        <x:v>1269500</x:v>
      </x:c>
      <x:c r="H66" s="365" t="n">
        <x:f>G66-C66</x:f>
        <x:v>1143666.6666666667</x:v>
      </x:c>
      <x:c r="I66" s="366" t="n">
        <x:f>1/(1+$B$7)^A66</x:f>
        <x:v>0.8554661910328779</x:v>
      </x:c>
      <x:c r="J66" s="365" t="n">
        <x:f>C66*I66</x:f>
        <x:v>107646.16237163714</x:v>
      </x:c>
      <x:c r="K66" s="365" t="n">
        <x:f>G66*I66</x:f>
        <x:v>1086014.3295162385</x:v>
      </x:c>
      <x:c r="L66" s="377" t="n">
        <x:f>H66*I66</x:f>
        <x:v>978368.1671446015</x:v>
      </x:c>
      <x:c r="M66" s="377" t="n">
        <x:f>M65+H66</x:f>
        <x:v>-12949333.333333332</x:v>
      </x:c>
      <x:c r="N66" s="377" t="n">
        <x:f>N65+L66</x:f>
        <x:v>-13165085.142753087</x:v>
      </x:c>
      <x:c r="O66" s="364" t="n">
        <x:f>IF(AND(M66&gt;=0,M65&lt;0),A66,0)</x:f>
        <x:v>0</x:v>
      </x:c>
      <x:c r="P66" s="364" t="n">
        <x:f>IF(AND(N66&gt;=0,N65&lt;0),A66,0)</x:f>
        <x:v>0</x:v>
      </x:c>
      <x:c r="Q66" s="364" t="n">
        <x:f>0</x:f>
        <x:v>0</x:v>
      </x:c>
    </x:row>
    <x:row r="67">
      <x:c r="A67" s="364" t="n">
        <x:v>14</x:v>
      </x:c>
      <x:c r="B67" s="372" t="str">
        <x:f>'Денежный поток'!$B$24</x:f>
        <x:v>Эксплуатация</x:v>
      </x:c>
      <x:c r="C67" s="373" t="n">
        <x:f>'Денежный поток'!$F$24</x:f>
        <x:v>125833.33333333333</x:v>
      </x:c>
      <x:c r="D67" s="365" t="n">
        <x:f>IF(A67&gt;'Допущения'!$C$12,'Сравнение'!$H$9/12,0)</x:f>
        <x:v>730000</x:v>
      </x:c>
      <x:c r="E67" s="365" t="n">
        <x:f>IF(A67&gt;'Допущения'!$C$12,'Сравнение'!$H$13/12,0)</x:f>
        <x:v>520833.3333333333</x:v>
      </x:c>
      <x:c r="F67" s="365" t="n">
        <x:f>IF(A67&gt;'Допущения'!$C$12,'Сравнение'!$H$17/12,0)</x:f>
        <x:v>18666.666666666668</x:v>
      </x:c>
      <x:c r="G67" s="365" t="n">
        <x:f>SUM(D67:F67)</x:f>
        <x:v>1269500</x:v>
      </x:c>
      <x:c r="H67" s="365" t="n">
        <x:f>G67-C67</x:f>
        <x:v>1143666.6666666667</x:v>
      </x:c>
      <x:c r="I67" s="366" t="n">
        <x:f>1/(1+$B$7)^A67</x:f>
        <x:v>0.8452548766203459</x:v>
      </x:c>
      <x:c r="J67" s="365" t="n">
        <x:f>C67*I67</x:f>
        <x:v>106361.23864139353</x:v>
      </x:c>
      <x:c r="K67" s="365" t="n">
        <x:f>G67*I67</x:f>
        <x:v>1073051.0658695293</x:v>
      </x:c>
      <x:c r="L67" s="377" t="n">
        <x:f>H67*I67</x:f>
        <x:v>966689.8272281357</x:v>
      </x:c>
      <x:c r="M67" s="377" t="n">
        <x:f>M66+H67</x:f>
        <x:v>-11805666.666666666</x:v>
      </x:c>
      <x:c r="N67" s="377" t="n">
        <x:f>N66+L67</x:f>
        <x:v>-12198395.31552495</x:v>
      </x:c>
      <x:c r="O67" s="364" t="n">
        <x:f>IF(AND(M67&gt;=0,M66&lt;0),A67,0)</x:f>
        <x:v>0</x:v>
      </x:c>
      <x:c r="P67" s="364" t="n">
        <x:f>IF(AND(N67&gt;=0,N66&lt;0),A67,0)</x:f>
        <x:v>0</x:v>
      </x:c>
      <x:c r="Q67" s="364" t="n">
        <x:f>0</x:f>
        <x:v>0</x:v>
      </x:c>
    </x:row>
    <x:row r="68">
      <x:c r="A68" s="364" t="n">
        <x:v>15</x:v>
      </x:c>
      <x:c r="B68" s="372" t="str">
        <x:f>'Денежный поток'!$B$25</x:f>
        <x:v>Эксплуатация</x:v>
      </x:c>
      <x:c r="C68" s="373" t="n">
        <x:f>'Денежный поток'!$F$25</x:f>
        <x:v>125833.33333333333</x:v>
      </x:c>
      <x:c r="D68" s="365" t="n">
        <x:f>IF(A68&gt;'Допущения'!$C$12,'Сравнение'!$H$9/12,0)</x:f>
        <x:v>730000</x:v>
      </x:c>
      <x:c r="E68" s="365" t="n">
        <x:f>IF(A68&gt;'Допущения'!$C$12,'Сравнение'!$H$13/12,0)</x:f>
        <x:v>520833.3333333333</x:v>
      </x:c>
      <x:c r="F68" s="365" t="n">
        <x:f>IF(A68&gt;'Допущения'!$C$12,'Сравнение'!$H$17/12,0)</x:f>
        <x:v>18666.666666666668</x:v>
      </x:c>
      <x:c r="G68" s="365" t="n">
        <x:f>SUM(D68:F68)</x:f>
        <x:v>1269500</x:v>
      </x:c>
      <x:c r="H68" s="365" t="n">
        <x:f>G68-C68</x:f>
        <x:v>1143666.6666666667</x:v>
      </x:c>
      <x:c r="I68" s="366" t="n">
        <x:f>1/(1+$B$7)^A68</x:f>
        <x:v>0.8351654500662994</x:v>
      </x:c>
      <x:c r="J68" s="365" t="n">
        <x:f>C68*I68</x:f>
        <x:v>105091.65246667601</x:v>
      </x:c>
      <x:c r="K68" s="365" t="n">
        <x:f>G68*I68</x:f>
        <x:v>1060242.5388591671</x:v>
      </x:c>
      <x:c r="L68" s="377" t="n">
        <x:f>H68*I68</x:f>
        <x:v>955150.8863924912</x:v>
      </x:c>
      <x:c r="M68" s="377" t="n">
        <x:f>M67+H68</x:f>
        <x:v>-10662000</x:v>
      </x:c>
      <x:c r="N68" s="377" t="n">
        <x:f>N67+L68</x:f>
        <x:v>-11243244.42913246</x:v>
      </x:c>
      <x:c r="O68" s="364" t="n">
        <x:f>IF(AND(M68&gt;=0,M67&lt;0),A68,0)</x:f>
        <x:v>0</x:v>
      </x:c>
      <x:c r="P68" s="364" t="n">
        <x:f>IF(AND(N68&gt;=0,N67&lt;0),A68,0)</x:f>
        <x:v>0</x:v>
      </x:c>
      <x:c r="Q68" s="364" t="n">
        <x:f>0</x:f>
        <x:v>0</x:v>
      </x:c>
    </x:row>
    <x:row r="69">
      <x:c r="A69" s="364" t="n">
        <x:v>16</x:v>
      </x:c>
      <x:c r="B69" s="372" t="str">
        <x:f>'Денежный поток'!$B$26</x:f>
        <x:v>Эксплуатация</x:v>
      </x:c>
      <x:c r="C69" s="373" t="n">
        <x:f>'Денежный поток'!$F$26</x:f>
        <x:v>125833.33333333333</x:v>
      </x:c>
      <x:c r="D69" s="365" t="n">
        <x:f>IF(A69&gt;'Допущения'!$C$12,'Сравнение'!$H$9/12,0)</x:f>
        <x:v>730000</x:v>
      </x:c>
      <x:c r="E69" s="365" t="n">
        <x:f>IF(A69&gt;'Допущения'!$C$12,'Сравнение'!$H$13/12,0)</x:f>
        <x:v>520833.3333333333</x:v>
      </x:c>
      <x:c r="F69" s="365" t="n">
        <x:f>IF(A69&gt;'Допущения'!$C$12,'Сравнение'!$H$17/12,0)</x:f>
        <x:v>18666.666666666668</x:v>
      </x:c>
      <x:c r="G69" s="365" t="n">
        <x:f>SUM(D69:F69)</x:f>
        <x:v>1269500</x:v>
      </x:c>
      <x:c r="H69" s="365" t="n">
        <x:f>G69-C69</x:f>
        <x:v>1143666.6666666667</x:v>
      </x:c>
      <x:c r="I69" s="366" t="n">
        <x:f>1/(1+$B$7)^A69</x:f>
        <x:v>0.8251964564502992</x:v>
      </x:c>
      <x:c r="J69" s="365" t="n">
        <x:f>C69*I69</x:f>
        <x:v>103837.22076999597</x:v>
      </x:c>
      <x:c r="K69" s="365" t="n">
        <x:f>G69*I69</x:f>
        <x:v>1047586.9014636548</x:v>
      </x:c>
      <x:c r="L69" s="377" t="n">
        <x:f>H69*I69</x:f>
        <x:v>943749.6806936589</x:v>
      </x:c>
      <x:c r="M69" s="377" t="n">
        <x:f>M68+H69</x:f>
        <x:v>-9518333.333333334</x:v>
      </x:c>
      <x:c r="N69" s="377" t="n">
        <x:f>N68+L69</x:f>
        <x:v>-10299494.748438802</x:v>
      </x:c>
      <x:c r="O69" s="364" t="n">
        <x:f>IF(AND(M69&gt;=0,M68&lt;0),A69,0)</x:f>
        <x:v>0</x:v>
      </x:c>
      <x:c r="P69" s="364" t="n">
        <x:f>IF(AND(N69&gt;=0,N68&lt;0),A69,0)</x:f>
        <x:v>0</x:v>
      </x:c>
      <x:c r="Q69" s="364" t="n">
        <x:f>0</x:f>
        <x:v>0</x:v>
      </x:c>
    </x:row>
    <x:row r="70">
      <x:c r="A70" s="364" t="n">
        <x:v>17</x:v>
      </x:c>
      <x:c r="B70" s="372" t="str">
        <x:f>'Денежный поток'!$B$27</x:f>
        <x:v>Эксплуатация</x:v>
      </x:c>
      <x:c r="C70" s="373" t="n">
        <x:f>'Денежный поток'!$F$27</x:f>
        <x:v>125833.33333333333</x:v>
      </x:c>
      <x:c r="D70" s="365" t="n">
        <x:f>IF(A70&gt;'Допущения'!$C$12,'Сравнение'!$H$9/12,0)</x:f>
        <x:v>730000</x:v>
      </x:c>
      <x:c r="E70" s="365" t="n">
        <x:f>IF(A70&gt;'Допущения'!$C$12,'Сравнение'!$H$13/12,0)</x:f>
        <x:v>520833.3333333333</x:v>
      </x:c>
      <x:c r="F70" s="365" t="n">
        <x:f>IF(A70&gt;'Допущения'!$C$12,'Сравнение'!$H$17/12,0)</x:f>
        <x:v>18666.666666666668</x:v>
      </x:c>
      <x:c r="G70" s="365" t="n">
        <x:f>SUM(D70:F70)</x:f>
        <x:v>1269500</x:v>
      </x:c>
      <x:c r="H70" s="365" t="n">
        <x:f>G70-C70</x:f>
        <x:v>1143666.6666666667</x:v>
      </x:c>
      <x:c r="I70" s="366" t="n">
        <x:f>1/(1+$B$7)^A70</x:f>
        <x:v>0.8153464582186364</x:v>
      </x:c>
      <x:c r="J70" s="365" t="n">
        <x:f>C70*I70</x:f>
        <x:v>102597.7626591784</x:v>
      </x:c>
      <x:c r="K70" s="365" t="n">
        <x:f>G70*I70</x:f>
        <x:v>1035082.3287085589</x:v>
      </x:c>
      <x:c r="L70" s="377" t="n">
        <x:f>H70*I70</x:f>
        <x:v>932484.5660493806</x:v>
      </x:c>
      <x:c r="M70" s="377" t="n">
        <x:f>M69+H70</x:f>
        <x:v>-8374666.666666667</x:v>
      </x:c>
      <x:c r="N70" s="377" t="n">
        <x:f>N69+L70</x:f>
        <x:v>-9367010.182389421</x:v>
      </x:c>
      <x:c r="O70" s="364" t="n">
        <x:f>IF(AND(M70&gt;=0,M69&lt;0),A70,0)</x:f>
        <x:v>0</x:v>
      </x:c>
      <x:c r="P70" s="364" t="n">
        <x:f>IF(AND(N70&gt;=0,N69&lt;0),A70,0)</x:f>
        <x:v>0</x:v>
      </x:c>
      <x:c r="Q70" s="364" t="n">
        <x:f>0</x:f>
        <x:v>0</x:v>
      </x:c>
    </x:row>
    <x:row r="71">
      <x:c r="A71" s="364" t="n">
        <x:v>18</x:v>
      </x:c>
      <x:c r="B71" s="372" t="str">
        <x:f>'Денежный поток'!$B$28</x:f>
        <x:v>Эксплуатация</x:v>
      </x:c>
      <x:c r="C71" s="373" t="n">
        <x:f>'Денежный поток'!$F$28</x:f>
        <x:v>125833.33333333333</x:v>
      </x:c>
      <x:c r="D71" s="365" t="n">
        <x:f>IF(A71&gt;'Допущения'!$C$12,'Сравнение'!$H$9/12,0)</x:f>
        <x:v>730000</x:v>
      </x:c>
      <x:c r="E71" s="365" t="n">
        <x:f>IF(A71&gt;'Допущения'!$C$12,'Сравнение'!$H$13/12,0)</x:f>
        <x:v>520833.3333333333</x:v>
      </x:c>
      <x:c r="F71" s="365" t="n">
        <x:f>IF(A71&gt;'Допущения'!$C$12,'Сравнение'!$H$17/12,0)</x:f>
        <x:v>18666.666666666668</x:v>
      </x:c>
      <x:c r="G71" s="365" t="n">
        <x:f>SUM(D71:F71)</x:f>
        <x:v>1269500</x:v>
      </x:c>
      <x:c r="H71" s="365" t="n">
        <x:f>G71-C71</x:f>
        <x:v>1143666.6666666667</x:v>
      </x:c>
      <x:c r="I71" s="366" t="n">
        <x:f>1/(1+$B$7)^A71</x:f>
        <x:v>0.8056140349770323</x:v>
      </x:c>
      <x:c r="J71" s="365" t="n">
        <x:f>C71*I71</x:f>
        <x:v>101373.09940127656</x:v>
      </x:c>
      <x:c r="K71" s="365" t="n">
        <x:f>G71*I71</x:f>
        <x:v>1022727.0174033425</x:v>
      </x:c>
      <x:c r="L71" s="377" t="n">
        <x:f>H71*I71</x:f>
        <x:v>921353.9180020661</x:v>
      </x:c>
      <x:c r="M71" s="377" t="n">
        <x:f>M70+H71</x:f>
        <x:v>-7231000</x:v>
      </x:c>
      <x:c r="N71" s="377" t="n">
        <x:f>N70+L71</x:f>
        <x:v>-8445656.264387356</x:v>
      </x:c>
      <x:c r="O71" s="364" t="n">
        <x:f>IF(AND(M71&gt;=0,M70&lt;0),A71,0)</x:f>
        <x:v>0</x:v>
      </x:c>
      <x:c r="P71" s="364" t="n">
        <x:f>IF(AND(N71&gt;=0,N70&lt;0),A71,0)</x:f>
        <x:v>0</x:v>
      </x:c>
      <x:c r="Q71" s="364" t="n">
        <x:f>0</x:f>
        <x:v>0</x:v>
      </x:c>
    </x:row>
    <x:row r="72">
      <x:c r="A72" s="364" t="n">
        <x:v>19</x:v>
      </x:c>
      <x:c r="B72" s="372" t="str">
        <x:f>'Денежный поток'!$B$29</x:f>
        <x:v>Эксплуатация</x:v>
      </x:c>
      <x:c r="C72" s="373" t="n">
        <x:f>'Денежный поток'!$F$29</x:f>
        <x:v>125833.33333333333</x:v>
      </x:c>
      <x:c r="D72" s="365" t="n">
        <x:f>IF(A72&gt;'Допущения'!$C$12,'Сравнение'!$H$9/12,0)</x:f>
        <x:v>730000</x:v>
      </x:c>
      <x:c r="E72" s="365" t="n">
        <x:f>IF(A72&gt;'Допущения'!$C$12,'Сравнение'!$H$13/12,0)</x:f>
        <x:v>520833.3333333333</x:v>
      </x:c>
      <x:c r="F72" s="365" t="n">
        <x:f>IF(A72&gt;'Допущения'!$C$12,'Сравнение'!$H$17/12,0)</x:f>
        <x:v>18666.666666666668</x:v>
      </x:c>
      <x:c r="G72" s="365" t="n">
        <x:f>SUM(D72:F72)</x:f>
        <x:v>1269500</x:v>
      </x:c>
      <x:c r="H72" s="365" t="n">
        <x:f>G72-C72</x:f>
        <x:v>1143666.6666666667</x:v>
      </x:c>
      <x:c r="I72" s="366" t="n">
        <x:f>1/(1+$B$7)^A72</x:f>
        <x:v>0.7959977832858153</x:v>
      </x:c>
      <x:c r="J72" s="365" t="n">
        <x:f>C72*I72</x:f>
        <x:v>100163.05439679841</x:v>
      </x:c>
      <x:c r="K72" s="365" t="n">
        <x:f>G72*I72</x:f>
        <x:v>1010519.1858813425</x:v>
      </x:c>
      <x:c r="L72" s="377" t="n">
        <x:f>H72*I72</x:f>
        <x:v>910356.1314845441</x:v>
      </x:c>
      <x:c r="M72" s="377" t="n">
        <x:f>M71+H72</x:f>
        <x:v>-6087333.333333333</x:v>
      </x:c>
      <x:c r="N72" s="377" t="n">
        <x:f>N71+L72</x:f>
        <x:v>-7535300.132902812</x:v>
      </x:c>
      <x:c r="O72" s="364" t="n">
        <x:f>IF(AND(M72&gt;=0,M71&lt;0),A72,0)</x:f>
        <x:v>0</x:v>
      </x:c>
      <x:c r="P72" s="364" t="n">
        <x:f>IF(AND(N72&gt;=0,N71&lt;0),A72,0)</x:f>
        <x:v>0</x:v>
      </x:c>
      <x:c r="Q72" s="364" t="n">
        <x:f>0</x:f>
        <x:v>0</x:v>
      </x:c>
    </x:row>
    <x:row r="73">
      <x:c r="A73" s="364" t="n">
        <x:v>20</x:v>
      </x:c>
      <x:c r="B73" s="372" t="str">
        <x:f>'Денежный поток'!$B$30</x:f>
        <x:v>Эксплуатация</x:v>
      </x:c>
      <x:c r="C73" s="373" t="n">
        <x:f>'Денежный поток'!$F$30</x:f>
        <x:v>125833.33333333333</x:v>
      </x:c>
      <x:c r="D73" s="365" t="n">
        <x:f>IF(A73&gt;'Допущения'!$C$12,'Сравнение'!$H$9/12,0)</x:f>
        <x:v>730000</x:v>
      </x:c>
      <x:c r="E73" s="365" t="n">
        <x:f>IF(A73&gt;'Допущения'!$C$12,'Сравнение'!$H$13/12,0)</x:f>
        <x:v>520833.3333333333</x:v>
      </x:c>
      <x:c r="F73" s="365" t="n">
        <x:f>IF(A73&gt;'Допущения'!$C$12,'Сравнение'!$H$17/12,0)</x:f>
        <x:v>18666.666666666668</x:v>
      </x:c>
      <x:c r="G73" s="365" t="n">
        <x:f>SUM(D73:F73)</x:f>
        <x:v>1269500</x:v>
      </x:c>
      <x:c r="H73" s="365" t="n">
        <x:f>G73-C73</x:f>
        <x:v>1143666.6666666667</x:v>
      </x:c>
      <x:c r="I73" s="366" t="n">
        <x:f>1/(1+$B$7)^A73</x:f>
        <x:v>0.78649631645754</x:v>
      </x:c>
      <x:c r="J73" s="365" t="n">
        <x:f>C73*I73</x:f>
        <x:v>98967.45315424044</x:v>
      </x:c>
      <x:c r="K73" s="365" t="n">
        <x:f>G73*I73</x:f>
        <x:v>998457.0737428471</x:v>
      </x:c>
      <x:c r="L73" s="377" t="n">
        <x:f>H73*I73</x:f>
        <x:v>899489.6205886067</x:v>
      </x:c>
      <x:c r="M73" s="377" t="n">
        <x:f>M72+H73</x:f>
        <x:v>-4943666.666666666</x:v>
      </x:c>
      <x:c r="N73" s="377" t="n">
        <x:f>N72+L73</x:f>
        <x:v>-6635810.512314206</x:v>
      </x:c>
      <x:c r="O73" s="364" t="n">
        <x:f>IF(AND(M73&gt;=0,M72&lt;0),A73,0)</x:f>
        <x:v>0</x:v>
      </x:c>
      <x:c r="P73" s="364" t="n">
        <x:f>IF(AND(N73&gt;=0,N72&lt;0),A73,0)</x:f>
        <x:v>0</x:v>
      </x:c>
      <x:c r="Q73" s="364" t="n">
        <x:f>0</x:f>
        <x:v>0</x:v>
      </x:c>
    </x:row>
    <x:row r="74">
      <x:c r="A74" s="364" t="n">
        <x:v>21</x:v>
      </x:c>
      <x:c r="B74" s="372" t="str">
        <x:f>'Денежный поток'!$B$31</x:f>
        <x:v>Эксплуатация</x:v>
      </x:c>
      <x:c r="C74" s="373" t="n">
        <x:f>'Денежный поток'!$F$31</x:f>
        <x:v>125833.33333333333</x:v>
      </x:c>
      <x:c r="D74" s="365" t="n">
        <x:f>IF(A74&gt;'Допущения'!$C$12,'Сравнение'!$H$9/12,0)</x:f>
        <x:v>730000</x:v>
      </x:c>
      <x:c r="E74" s="365" t="n">
        <x:f>IF(A74&gt;'Допущения'!$C$12,'Сравнение'!$H$13/12,0)</x:f>
        <x:v>520833.3333333333</x:v>
      </x:c>
      <x:c r="F74" s="365" t="n">
        <x:f>IF(A74&gt;'Допущения'!$C$12,'Сравнение'!$H$17/12,0)</x:f>
        <x:v>18666.666666666668</x:v>
      </x:c>
      <x:c r="G74" s="365" t="n">
        <x:f>SUM(D74:F74)</x:f>
        <x:v>1269500</x:v>
      </x:c>
      <x:c r="H74" s="365" t="n">
        <x:f>G74-C74</x:f>
        <x:v>1143666.6666666667</x:v>
      </x:c>
      <x:c r="I74" s="366" t="n">
        <x:f>1/(1+$B$7)^A74</x:f>
        <x:v>0.7771082643570245</x:v>
      </x:c>
      <x:c r="J74" s="365" t="n">
        <x:f>C74*I74</x:f>
        <x:v>97786.12326492558</x:v>
      </x:c>
      <x:c r="K74" s="365" t="n">
        <x:f>G74*I74</x:f>
        <x:v>986538.9416012426</x:v>
      </x:c>
      <x:c r="L74" s="377" t="n">
        <x:f>H74*I74</x:f>
        <x:v>888752.8183363171</x:v>
      </x:c>
      <x:c r="M74" s="377" t="n">
        <x:f>M73+H74</x:f>
        <x:v>-3799999.999999999</x:v>
      </x:c>
      <x:c r="N74" s="377" t="n">
        <x:f>N73+L74</x:f>
        <x:v>-5747057.693977889</x:v>
      </x:c>
      <x:c r="O74" s="364" t="n">
        <x:f>IF(AND(M74&gt;=0,M73&lt;0),A74,0)</x:f>
        <x:v>0</x:v>
      </x:c>
      <x:c r="P74" s="364" t="n">
        <x:f>IF(AND(N74&gt;=0,N73&lt;0),A74,0)</x:f>
        <x:v>0</x:v>
      </x:c>
      <x:c r="Q74" s="364" t="n">
        <x:f>0</x:f>
        <x:v>0</x:v>
      </x:c>
    </x:row>
    <x:row r="75">
      <x:c r="A75" s="364" t="n">
        <x:v>22</x:v>
      </x:c>
      <x:c r="B75" s="372" t="str">
        <x:f>'Денежный поток'!$B$32</x:f>
        <x:v>Эксплуатация</x:v>
      </x:c>
      <x:c r="C75" s="373" t="n">
        <x:f>'Денежный поток'!$F$32</x:f>
        <x:v>125833.33333333333</x:v>
      </x:c>
      <x:c r="D75" s="365" t="n">
        <x:f>IF(A75&gt;'Допущения'!$C$12,'Сравнение'!$H$9/12,0)</x:f>
        <x:v>730000</x:v>
      </x:c>
      <x:c r="E75" s="365" t="n">
        <x:f>IF(A75&gt;'Допущения'!$C$12,'Сравнение'!$H$13/12,0)</x:f>
        <x:v>520833.3333333333</x:v>
      </x:c>
      <x:c r="F75" s="365" t="n">
        <x:f>IF(A75&gt;'Допущения'!$C$12,'Сравнение'!$H$17/12,0)</x:f>
        <x:v>18666.666666666668</x:v>
      </x:c>
      <x:c r="G75" s="365" t="n">
        <x:f>SUM(D75:F75)</x:f>
        <x:v>1269500</x:v>
      </x:c>
      <x:c r="H75" s="365" t="n">
        <x:f>G75-C75</x:f>
        <x:v>1143666.6666666667</x:v>
      </x:c>
      <x:c r="I75" s="366" t="n">
        <x:f>1/(1+$B$7)^A75</x:f>
        <x:v>0.7678322732037732</x:v>
      </x:c>
      <x:c r="J75" s="365" t="n">
        <x:f>C75*I75</x:f>
        <x:v>96618.89437814146</x:v>
      </x:c>
      <x:c r="K75" s="365" t="n">
        <x:f>G75*I75</x:f>
        <x:v>974763.0708321901</x:v>
      </x:c>
      <x:c r="L75" s="377" t="n">
        <x:f>H75*I75</x:f>
        <x:v>878144.1764540487</x:v>
      </x:c>
      <x:c r="M75" s="377" t="n">
        <x:f>M74+H75</x:f>
        <x:v>-2656333.333333332</x:v>
      </x:c>
      <x:c r="N75" s="377" t="n">
        <x:f>N74+L75</x:f>
        <x:v>-4868913.51752384</x:v>
      </x:c>
      <x:c r="O75" s="364" t="n">
        <x:f>IF(AND(M75&gt;=0,M74&lt;0),A75,0)</x:f>
        <x:v>0</x:v>
      </x:c>
      <x:c r="P75" s="364" t="n">
        <x:f>IF(AND(N75&gt;=0,N74&lt;0),A75,0)</x:f>
        <x:v>0</x:v>
      </x:c>
      <x:c r="Q75" s="364" t="n">
        <x:f>0</x:f>
        <x:v>0</x:v>
      </x:c>
    </x:row>
    <x:row r="76">
      <x:c r="A76" s="364" t="n">
        <x:v>23</x:v>
      </x:c>
      <x:c r="B76" s="372" t="str">
        <x:f>'Денежный поток'!$B$33</x:f>
        <x:v>Эксплуатация</x:v>
      </x:c>
      <x:c r="C76" s="373" t="n">
        <x:f>'Денежный поток'!$F$33</x:f>
        <x:v>125833.33333333333</x:v>
      </x:c>
      <x:c r="D76" s="365" t="n">
        <x:f>IF(A76&gt;'Допущения'!$C$12,'Сравнение'!$H$9/12,0)</x:f>
        <x:v>730000</x:v>
      </x:c>
      <x:c r="E76" s="365" t="n">
        <x:f>IF(A76&gt;'Допущения'!$C$12,'Сравнение'!$H$13/12,0)</x:f>
        <x:v>520833.3333333333</x:v>
      </x:c>
      <x:c r="F76" s="365" t="n">
        <x:f>IF(A76&gt;'Допущения'!$C$12,'Сравнение'!$H$17/12,0)</x:f>
        <x:v>18666.666666666668</x:v>
      </x:c>
      <x:c r="G76" s="365" t="n">
        <x:f>SUM(D76:F76)</x:f>
        <x:v>1269500</x:v>
      </x:c>
      <x:c r="H76" s="365" t="n">
        <x:f>G76-C76</x:f>
        <x:v>1143666.6666666667</x:v>
      </x:c>
      <x:c r="I76" s="366" t="n">
        <x:f>1/(1+$B$7)^A76</x:f>
        <x:v>0.758667005376758</x:v>
      </x:c>
      <x:c r="J76" s="365" t="n">
        <x:f>C76*I76</x:f>
        <x:v>95465.59817657538</x:v>
      </x:c>
      <x:c r="K76" s="365" t="n">
        <x:f>G76*I76</x:f>
        <x:v>963127.7633257943</x:v>
      </x:c>
      <x:c r="L76" s="377" t="n">
        <x:f>H76*I76</x:f>
        <x:v>867662.165149219</x:v>
      </x:c>
      <x:c r="M76" s="377" t="n">
        <x:f>M75+H76</x:f>
        <x:v>-1512666.6666666653</x:v>
      </x:c>
      <x:c r="N76" s="377" t="n">
        <x:f>N75+L76</x:f>
        <x:v>-4001251.352374621</x:v>
      </x:c>
      <x:c r="O76" s="364" t="n">
        <x:f>IF(AND(M76&gt;=0,M75&lt;0),A76,0)</x:f>
        <x:v>0</x:v>
      </x:c>
      <x:c r="P76" s="364" t="n">
        <x:f>IF(AND(N76&gt;=0,N75&lt;0),A76,0)</x:f>
        <x:v>0</x:v>
      </x:c>
      <x:c r="Q76" s="364" t="n">
        <x:f>0</x:f>
        <x:v>0</x:v>
      </x:c>
    </x:row>
    <x:row r="77">
      <x:c r="A77" s="364" t="n">
        <x:v>24</x:v>
      </x:c>
      <x:c r="B77" s="372" t="str">
        <x:f>'Денежный поток'!$B$34</x:f>
        <x:v>Эксплуатация</x:v>
      </x:c>
      <x:c r="C77" s="373" t="n">
        <x:f>'Денежный поток'!$F$34</x:f>
        <x:v>125833.33333333333</x:v>
      </x:c>
      <x:c r="D77" s="365" t="n">
        <x:f>IF(A77&gt;'Допущения'!$C$12,'Сравнение'!$H$9/12,0)</x:f>
        <x:v>730000</x:v>
      </x:c>
      <x:c r="E77" s="365" t="n">
        <x:f>IF(A77&gt;'Допущения'!$C$12,'Сравнение'!$H$13/12,0)</x:f>
        <x:v>520833.3333333333</x:v>
      </x:c>
      <x:c r="F77" s="365" t="n">
        <x:f>IF(A77&gt;'Допущения'!$C$12,'Сравнение'!$H$17/12,0)</x:f>
        <x:v>18666.666666666668</x:v>
      </x:c>
      <x:c r="G77" s="365" t="n">
        <x:f>SUM(D77:F77)</x:f>
        <x:v>1269500</x:v>
      </x:c>
      <x:c r="H77" s="365" t="n">
        <x:f>G77-C77</x:f>
        <x:v>1143666.6666666667</x:v>
      </x:c>
      <x:c r="I77" s="366" t="n">
        <x:f>1/(1+$B$7)^A77</x:f>
        <x:v>0.7496111392215304</x:v>
      </x:c>
      <x:c r="J77" s="365" t="n">
        <x:f>C77*I77</x:f>
        <x:v>94326.06835204258</x:v>
      </x:c>
      <x:c r="K77" s="365" t="n">
        <x:f>G77*I77</x:f>
        <x:v>951631.3412417329</x:v>
      </x:c>
      <x:c r="L77" s="377" t="n">
        <x:f>H77*I77</x:f>
        <x:v>857305.2728896904</x:v>
      </x:c>
      <x:c r="M77" s="377" t="n">
        <x:f>M76+H77</x:f>
        <x:v>-368999.9999999986</x:v>
      </x:c>
      <x:c r="N77" s="377" t="n">
        <x:f>N76+L77</x:f>
        <x:v>-3143946.0794849307</x:v>
      </x:c>
      <x:c r="O77" s="364" t="n">
        <x:f>IF(AND(M77&gt;=0,M76&lt;0),A77,0)</x:f>
        <x:v>0</x:v>
      </x:c>
      <x:c r="P77" s="364" t="n">
        <x:f>IF(AND(N77&gt;=0,N76&lt;0),A77,0)</x:f>
        <x:v>0</x:v>
      </x:c>
      <x:c r="Q77" s="364" t="n">
        <x:f>0</x:f>
        <x:v>0</x:v>
      </x:c>
    </x:row>
    <x:row r="78">
      <x:c r="A78" s="364" t="n">
        <x:v>25</x:v>
      </x:c>
      <x:c r="B78" s="372" t="str">
        <x:f>'Денежный поток'!$B$35</x:f>
        <x:v>Эксплуатация</x:v>
      </x:c>
      <x:c r="C78" s="373" t="n">
        <x:f>'Денежный поток'!$F$35</x:f>
        <x:v>125833.33333333333</x:v>
      </x:c>
      <x:c r="D78" s="365" t="n">
        <x:f>IF(A78&gt;'Допущения'!$C$12,'Сравнение'!$H$9/12,0)</x:f>
        <x:v>730000</x:v>
      </x:c>
      <x:c r="E78" s="365" t="n">
        <x:f>IF(A78&gt;'Допущения'!$C$12,'Сравнение'!$H$13/12,0)</x:f>
        <x:v>520833.3333333333</x:v>
      </x:c>
      <x:c r="F78" s="365" t="n">
        <x:f>IF(A78&gt;'Допущения'!$C$12,'Сравнение'!$H$17/12,0)</x:f>
        <x:v>18666.666666666668</x:v>
      </x:c>
      <x:c r="G78" s="365" t="n">
        <x:f>SUM(D78:F78)</x:f>
        <x:v>1269500</x:v>
      </x:c>
      <x:c r="H78" s="365" t="n">
        <x:f>G78-C78</x:f>
        <x:v>1143666.6666666667</x:v>
      </x:c>
      <x:c r="I78" s="366" t="n">
        <x:f>1/(1+$B$7)^A78</x:f>
        <x:v>0.7406633688596352</x:v>
      </x:c>
      <x:c r="J78" s="365" t="n">
        <x:f>C78*I78</x:f>
        <x:v>93200.14058150409</x:v>
      </x:c>
      <x:c r="K78" s="365" t="n">
        <x:f>G78*I78</x:f>
        <x:v>940272.146767307</x:v>
      </x:c>
      <x:c r="L78" s="377" t="n">
        <x:f>H78*I78</x:f>
        <x:v>847072.0061858029</x:v>
      </x:c>
      <x:c r="M78" s="377" t="n">
        <x:f>M77+H78</x:f>
        <x:v>774666.6666666681</x:v>
      </x:c>
      <x:c r="N78" s="377" t="n">
        <x:f>N77+L78</x:f>
        <x:v>-2296874.0732991276</x:v>
      </x:c>
      <x:c r="O78" s="364" t="n">
        <x:f>IF(AND(M78&gt;=0,M77&lt;0),A78,0)</x:f>
        <x:v>25</x:v>
      </x:c>
      <x:c r="P78" s="364" t="n">
        <x:f>IF(AND(N78&gt;=0,N77&lt;0),A78,0)</x:f>
        <x:v>0</x:v>
      </x:c>
      <x:c r="Q78" s="364" t="n">
        <x:f>0</x:f>
        <x:v>0</x:v>
      </x:c>
    </x:row>
    <x:row r="79">
      <x:c r="A79" s="364" t="n">
        <x:v>26</x:v>
      </x:c>
      <x:c r="B79" s="372" t="str">
        <x:f>'Денежный поток'!$B$36</x:f>
        <x:v>Эксплуатация</x:v>
      </x:c>
      <x:c r="C79" s="373" t="n">
        <x:f>'Денежный поток'!$F$36</x:f>
        <x:v>125833.33333333333</x:v>
      </x:c>
      <x:c r="D79" s="365" t="n">
        <x:f>IF(A79&gt;'Допущения'!$C$12,'Сравнение'!$H$9/12,0)</x:f>
        <x:v>730000</x:v>
      </x:c>
      <x:c r="E79" s="365" t="n">
        <x:f>IF(A79&gt;'Допущения'!$C$12,'Сравнение'!$H$13/12,0)</x:f>
        <x:v>520833.3333333333</x:v>
      </x:c>
      <x:c r="F79" s="365" t="n">
        <x:f>IF(A79&gt;'Допущения'!$C$12,'Сравнение'!$H$17/12,0)</x:f>
        <x:v>18666.666666666668</x:v>
      </x:c>
      <x:c r="G79" s="365" t="n">
        <x:f>SUM(D79:F79)</x:f>
        <x:v>1269500</x:v>
      </x:c>
      <x:c r="H79" s="365" t="n">
        <x:f>G79-C79</x:f>
        <x:v>1143666.6666666667</x:v>
      </x:c>
      <x:c r="I79" s="366" t="n">
        <x:f>1/(1+$B$7)^A79</x:f>
        <x:v>0.7318224040003003</x:v>
      </x:c>
      <x:c r="J79" s="365" t="n">
        <x:f>C79*I79</x:f>
        <x:v>92087.65250337112</x:v>
      </x:c>
      <x:c r="K79" s="365" t="n">
        <x:f>G79*I79</x:f>
        <x:v>929048.5418783813</x:v>
      </x:c>
      <x:c r="L79" s="377" t="n">
        <x:f>H79*I79</x:f>
        <x:v>836960.8893750102</x:v>
      </x:c>
      <x:c r="M79" s="377" t="n">
        <x:f>M78+H79</x:f>
        <x:v>1918333.333333335</x:v>
      </x:c>
      <x:c r="N79" s="377" t="n">
        <x:f>N78+L79</x:f>
        <x:v>-1459913.1839241176</x:v>
      </x:c>
      <x:c r="O79" s="364" t="n">
        <x:f>IF(AND(M79&gt;=0,M78&lt;0),A79,0)</x:f>
        <x:v>0</x:v>
      </x:c>
      <x:c r="P79" s="364" t="n">
        <x:f>IF(AND(N79&gt;=0,N78&lt;0),A79,0)</x:f>
        <x:v>0</x:v>
      </x:c>
      <x:c r="Q79" s="364" t="n">
        <x:f>0</x:f>
        <x:v>0</x:v>
      </x:c>
    </x:row>
    <x:row r="80">
      <x:c r="A80" s="364" t="n">
        <x:v>27</x:v>
      </x:c>
      <x:c r="B80" s="372" t="str">
        <x:f>'Денежный поток'!$B$37</x:f>
        <x:v>Эксплуатация</x:v>
      </x:c>
      <x:c r="C80" s="373" t="n">
        <x:f>'Денежный поток'!$F$37</x:f>
        <x:v>125833.33333333333</x:v>
      </x:c>
      <x:c r="D80" s="365" t="n">
        <x:f>IF(A80&gt;'Допущения'!$C$12,'Сравнение'!$H$9/12,0)</x:f>
        <x:v>730000</x:v>
      </x:c>
      <x:c r="E80" s="365" t="n">
        <x:f>IF(A80&gt;'Допущения'!$C$12,'Сравнение'!$H$13/12,0)</x:f>
        <x:v>520833.3333333333</x:v>
      </x:c>
      <x:c r="F80" s="365" t="n">
        <x:f>IF(A80&gt;'Допущения'!$C$12,'Сравнение'!$H$17/12,0)</x:f>
        <x:v>18666.666666666668</x:v>
      </x:c>
      <x:c r="G80" s="365" t="n">
        <x:f>SUM(D80:F80)</x:f>
        <x:v>1269500</x:v>
      </x:c>
      <x:c r="H80" s="365" t="n">
        <x:f>G80-C80</x:f>
        <x:v>1143666.6666666667</x:v>
      </x:c>
      <x:c r="I80" s="366" t="n">
        <x:f>1/(1+$B$7)^A80</x:f>
        <x:v>0.7230869697543726</x:v>
      </x:c>
      <x:c r="J80" s="365" t="n">
        <x:f>C80*I80</x:f>
        <x:v>90988.44369409188</x:v>
      </x:c>
      <x:c r="K80" s="365" t="n">
        <x:f>G80*I80</x:f>
        <x:v>917958.908103176</x:v>
      </x:c>
      <x:c r="L80" s="377" t="n">
        <x:f>H80*I80</x:f>
        <x:v>826970.4644090842</x:v>
      </x:c>
      <x:c r="M80" s="377" t="n">
        <x:f>M79+H80</x:f>
        <x:v>3062000.000000002</x:v>
      </x:c>
      <x:c r="N80" s="377" t="n">
        <x:f>N79+L80</x:f>
        <x:v>-632942.7195150334</x:v>
      </x:c>
      <x:c r="O80" s="364" t="n">
        <x:f>IF(AND(M80&gt;=0,M79&lt;0),A80,0)</x:f>
        <x:v>0</x:v>
      </x:c>
      <x:c r="P80" s="364" t="n">
        <x:f>IF(AND(N80&gt;=0,N79&lt;0),A80,0)</x:f>
        <x:v>0</x:v>
      </x:c>
      <x:c r="Q80" s="364" t="n">
        <x:f>0</x:f>
        <x:v>0</x:v>
      </x:c>
    </x:row>
    <x:row r="81">
      <x:c r="A81" s="364" t="n">
        <x:v>28</x:v>
      </x:c>
      <x:c r="B81" s="372" t="str">
        <x:f>'Денежный поток'!$B$38</x:f>
        <x:v>Эксплуатация</x:v>
      </x:c>
      <x:c r="C81" s="373" t="n">
        <x:f>'Денежный поток'!$F$38</x:f>
        <x:v>125833.33333333333</x:v>
      </x:c>
      <x:c r="D81" s="365" t="n">
        <x:f>IF(A81&gt;'Допущения'!$C$12,'Сравнение'!$H$9/12,0)</x:f>
        <x:v>730000</x:v>
      </x:c>
      <x:c r="E81" s="365" t="n">
        <x:f>IF(A81&gt;'Допущения'!$C$12,'Сравнение'!$H$13/12,0)</x:f>
        <x:v>520833.3333333333</x:v>
      </x:c>
      <x:c r="F81" s="365" t="n">
        <x:f>IF(A81&gt;'Допущения'!$C$12,'Сравнение'!$H$17/12,0)</x:f>
        <x:v>18666.666666666668</x:v>
      </x:c>
      <x:c r="G81" s="365" t="n">
        <x:f>SUM(D81:F81)</x:f>
        <x:v>1269500</x:v>
      </x:c>
      <x:c r="H81" s="365" t="n">
        <x:f>G81-C81</x:f>
        <x:v>1143666.6666666667</x:v>
      </x:c>
      <x:c r="I81" s="366" t="n">
        <x:f>1/(1+$B$7)^A81</x:f>
        <x:v>0.7144558064504763</x:v>
      </x:c>
      <x:c r="J81" s="365" t="n">
        <x:f>C81*I81</x:f>
        <x:v>89902.35564501827</x:v>
      </x:c>
      <x:c r="K81" s="365" t="n">
        <x:f>G81*I81</x:f>
        <x:v>907001.6462888797</x:v>
      </x:c>
      <x:c r="L81" s="377" t="n">
        <x:f>H81*I81</x:f>
        <x:v>817099.2906438615</x:v>
      </x:c>
      <x:c r="M81" s="377" t="n">
        <x:f>M80+H81</x:f>
        <x:v>4205666.666666669</x:v>
      </x:c>
      <x:c r="N81" s="377" t="n">
        <x:f>N80+L81</x:f>
        <x:v>184156.5711288281</x:v>
      </x:c>
      <x:c r="O81" s="364" t="n">
        <x:f>IF(AND(M81&gt;=0,M80&lt;0),A81,0)</x:f>
        <x:v>0</x:v>
      </x:c>
      <x:c r="P81" s="364" t="n">
        <x:f>IF(AND(N81&gt;=0,N80&lt;0),A81,0)</x:f>
        <x:v>28</x:v>
      </x:c>
      <x:c r="Q81" s="364" t="n">
        <x:f>0</x:f>
        <x:v>0</x:v>
      </x:c>
    </x:row>
    <x:row r="82">
      <x:c r="A82" s="364" t="n">
        <x:v>29</x:v>
      </x:c>
      <x:c r="B82" s="372" t="str">
        <x:f>'Денежный поток'!$B$39</x:f>
        <x:v>Эксплуатация</x:v>
      </x:c>
      <x:c r="C82" s="373" t="n">
        <x:f>'Денежный поток'!$F$39</x:f>
        <x:v>125833.33333333333</x:v>
      </x:c>
      <x:c r="D82" s="365" t="n">
        <x:f>IF(A82&gt;'Допущения'!$C$12,'Сравнение'!$H$9/12,0)</x:f>
        <x:v>730000</x:v>
      </x:c>
      <x:c r="E82" s="365" t="n">
        <x:f>IF(A82&gt;'Допущения'!$C$12,'Сравнение'!$H$13/12,0)</x:f>
        <x:v>520833.3333333333</x:v>
      </x:c>
      <x:c r="F82" s="365" t="n">
        <x:f>IF(A82&gt;'Допущения'!$C$12,'Сравнение'!$H$17/12,0)</x:f>
        <x:v>18666.666666666668</x:v>
      </x:c>
      <x:c r="G82" s="365" t="n">
        <x:f>SUM(D82:F82)</x:f>
        <x:v>1269500</x:v>
      </x:c>
      <x:c r="H82" s="365" t="n">
        <x:f>G82-C82</x:f>
        <x:v>1143666.6666666667</x:v>
      </x:c>
      <x:c r="I82" s="366" t="n">
        <x:f>1/(1+$B$7)^A82</x:f>
        <x:v>0.7059276694533656</x:v>
      </x:c>
      <x:c r="J82" s="365" t="n">
        <x:f>C82*I82</x:f>
        <x:v>88829.2317395485</x:v>
      </x:c>
      <x:c r="K82" s="365" t="n">
        <x:f>G82*I82</x:f>
        <x:v>896175.1763710476</x:v>
      </x:c>
      <x:c r="L82" s="377" t="n">
        <x:f>H82*I82</x:f>
        <x:v>807345.9446314992</x:v>
      </x:c>
      <x:c r="M82" s="377" t="n">
        <x:f>M81+H82</x:f>
        <x:v>5349333.333333336</x:v>
      </x:c>
      <x:c r="N82" s="377" t="n">
        <x:f>N81+L82</x:f>
        <x:v>991502.5157603273</x:v>
      </x:c>
      <x:c r="O82" s="364" t="n">
        <x:f>IF(AND(M82&gt;=0,M81&lt;0),A82,0)</x:f>
        <x:v>0</x:v>
      </x:c>
      <x:c r="P82" s="364" t="n">
        <x:f>IF(AND(N82&gt;=0,N81&lt;0),A82,0)</x:f>
        <x:v>0</x:v>
      </x:c>
      <x:c r="Q82" s="364" t="n">
        <x:f>0</x:f>
        <x:v>0</x:v>
      </x:c>
    </x:row>
    <x:row r="83">
      <x:c r="A83" s="364" t="n">
        <x:v>30</x:v>
      </x:c>
      <x:c r="B83" s="372" t="str">
        <x:f>'Денежный поток'!$B$40</x:f>
        <x:v>Эксплуатация</x:v>
      </x:c>
      <x:c r="C83" s="373" t="n">
        <x:f>'Денежный поток'!$F$40</x:f>
        <x:v>125833.33333333333</x:v>
      </x:c>
      <x:c r="D83" s="365" t="n">
        <x:f>IF(A83&gt;'Допущения'!$C$12,'Сравнение'!$H$9/12,0)</x:f>
        <x:v>730000</x:v>
      </x:c>
      <x:c r="E83" s="365" t="n">
        <x:f>IF(A83&gt;'Допущения'!$C$12,'Сравнение'!$H$13/12,0)</x:f>
        <x:v>520833.3333333333</x:v>
      </x:c>
      <x:c r="F83" s="365" t="n">
        <x:f>IF(A83&gt;'Допущения'!$C$12,'Сравнение'!$H$17/12,0)</x:f>
        <x:v>18666.666666666668</x:v>
      </x:c>
      <x:c r="G83" s="365" t="n">
        <x:f>SUM(D83:F83)</x:f>
        <x:v>1269500</x:v>
      </x:c>
      <x:c r="H83" s="365" t="n">
        <x:f>G83-C83</x:f>
        <x:v>1143666.6666666667</x:v>
      </x:c>
      <x:c r="I83" s="366" t="n">
        <x:f>1/(1+$B$7)^A83</x:f>
        <x:v>0.6975013289844444</x:v>
      </x:c>
      <x:c r="J83" s="365" t="n">
        <x:f>C83*I83</x:f>
        <x:v>87768.91723054259</x:v>
      </x:c>
      <x:c r="K83" s="365" t="n">
        <x:f>G83*I83</x:f>
        <x:v>885477.9371457521</x:v>
      </x:c>
      <x:c r="L83" s="377" t="n">
        <x:f>H83*I83</x:f>
        <x:v>797709.0199152096</x:v>
      </x:c>
      <x:c r="M83" s="377" t="n">
        <x:f>M82+H83</x:f>
        <x:v>6493000.000000003</x:v>
      </x:c>
      <x:c r="N83" s="377" t="n">
        <x:f>N82+L83</x:f>
        <x:v>1789211.5356755368</x:v>
      </x:c>
      <x:c r="O83" s="364" t="n">
        <x:f>IF(AND(M83&gt;=0,M82&lt;0),A83,0)</x:f>
        <x:v>0</x:v>
      </x:c>
      <x:c r="P83" s="364" t="n">
        <x:f>IF(AND(N83&gt;=0,N82&lt;0),A83,0)</x:f>
        <x:v>0</x:v>
      </x:c>
      <x:c r="Q83" s="364" t="n">
        <x:f>0</x:f>
        <x:v>0</x:v>
      </x:c>
    </x:row>
    <x:row r="84">
      <x:c r="A84" s="364" t="n">
        <x:v>31</x:v>
      </x:c>
      <x:c r="B84" s="372" t="str">
        <x:f>'Денежный поток'!$B$41</x:f>
        <x:v>Эксплуатация</x:v>
      </x:c>
      <x:c r="C84" s="373" t="n">
        <x:f>'Денежный поток'!$F$41</x:f>
        <x:v>125833.33333333333</x:v>
      </x:c>
      <x:c r="D84" s="365" t="n">
        <x:f>IF(A84&gt;'Допущения'!$C$12,'Сравнение'!$H$9/12,0)</x:f>
        <x:v>730000</x:v>
      </x:c>
      <x:c r="E84" s="365" t="n">
        <x:f>IF(A84&gt;'Допущения'!$C$12,'Сравнение'!$H$13/12,0)</x:f>
        <x:v>520833.3333333333</x:v>
      </x:c>
      <x:c r="F84" s="365" t="n">
        <x:f>IF(A84&gt;'Допущения'!$C$12,'Сравнение'!$H$17/12,0)</x:f>
        <x:v>18666.666666666668</x:v>
      </x:c>
      <x:c r="G84" s="365" t="n">
        <x:f>SUM(D84:F84)</x:f>
        <x:v>1269500</x:v>
      </x:c>
      <x:c r="H84" s="365" t="n">
        <x:f>G84-C84</x:f>
        <x:v>1143666.6666666667</x:v>
      </x:c>
      <x:c r="I84" s="366" t="n">
        <x:f>1/(1+$B$7)^A84</x:f>
        <x:v>0.6891755699444295</x:v>
      </x:c>
      <x:c r="J84" s="365" t="n">
        <x:f>C84*I84</x:f>
        <x:v>86721.25921800738</x:v>
      </x:c>
      <x:c r="K84" s="365" t="n">
        <x:f>G84*I84</x:f>
        <x:v>874908.3860444532</x:v>
      </x:c>
      <x:c r="L84" s="377" t="n">
        <x:f>H84*I84</x:f>
        <x:v>788187.1268264459</x:v>
      </x:c>
      <x:c r="M84" s="377" t="n">
        <x:f>M83+H84</x:f>
        <x:v>7636666.66666667</x:v>
      </x:c>
      <x:c r="N84" s="377" t="n">
        <x:f>N83+L84</x:f>
        <x:v>2577398.662501983</x:v>
      </x:c>
      <x:c r="O84" s="364" t="n">
        <x:f>IF(AND(M84&gt;=0,M83&lt;0),A84,0)</x:f>
        <x:v>0</x:v>
      </x:c>
      <x:c r="P84" s="364" t="n">
        <x:f>IF(AND(N84&gt;=0,N83&lt;0),A84,0)</x:f>
        <x:v>0</x:v>
      </x:c>
      <x:c r="Q84" s="364" t="n">
        <x:f>0</x:f>
        <x:v>0</x:v>
      </x:c>
    </x:row>
    <x:row r="85">
      <x:c r="A85" s="364" t="n">
        <x:v>32</x:v>
      </x:c>
      <x:c r="B85" s="372" t="str">
        <x:f>'Денежный поток'!$B$42</x:f>
        <x:v>Эксплуатация</x:v>
      </x:c>
      <x:c r="C85" s="373" t="n">
        <x:f>'Денежный поток'!$F$42</x:f>
        <x:v>125833.33333333333</x:v>
      </x:c>
      <x:c r="D85" s="365" t="n">
        <x:f>IF(A85&gt;'Допущения'!$C$12,'Сравнение'!$H$9/12,0)</x:f>
        <x:v>730000</x:v>
      </x:c>
      <x:c r="E85" s="365" t="n">
        <x:f>IF(A85&gt;'Допущения'!$C$12,'Сравнение'!$H$13/12,0)</x:f>
        <x:v>520833.3333333333</x:v>
      </x:c>
      <x:c r="F85" s="365" t="n">
        <x:f>IF(A85&gt;'Допущения'!$C$12,'Сравнение'!$H$17/12,0)</x:f>
        <x:v>18666.666666666668</x:v>
      </x:c>
      <x:c r="G85" s="365" t="n">
        <x:f>SUM(D85:F85)</x:f>
        <x:v>1269500</x:v>
      </x:c>
      <x:c r="H85" s="365" t="n">
        <x:f>G85-C85</x:f>
        <x:v>1143666.6666666667</x:v>
      </x:c>
      <x:c r="I85" s="366" t="n">
        <x:f>1/(1+$B$7)^A85</x:f>
        <x:v>0.6809491917381305</x:v>
      </x:c>
      <x:c r="J85" s="365" t="n">
        <x:f>C85*I85</x:f>
        <x:v>85686.10662704808</x:v>
      </x:c>
      <x:c r="K85" s="365" t="n">
        <x:f>G85*I85</x:f>
        <x:v>864464.9989115567</x:v>
      </x:c>
      <x:c r="L85" s="377" t="n">
        <x:f>H85*I85</x:f>
        <x:v>778778.8922845087</x:v>
      </x:c>
      <x:c r="M85" s="377" t="n">
        <x:f>M84+H85</x:f>
        <x:v>8780333.333333336</x:v>
      </x:c>
      <x:c r="N85" s="377" t="n">
        <x:f>N84+L85</x:f>
        <x:v>3356177.5547864917</x:v>
      </x:c>
      <x:c r="O85" s="364" t="n">
        <x:f>IF(AND(M85&gt;=0,M84&lt;0),A85,0)</x:f>
        <x:v>0</x:v>
      </x:c>
      <x:c r="P85" s="364" t="n">
        <x:f>IF(AND(N85&gt;=0,N84&lt;0),A85,0)</x:f>
        <x:v>0</x:v>
      </x:c>
      <x:c r="Q85" s="364" t="n">
        <x:f>0</x:f>
        <x:v>0</x:v>
      </x:c>
    </x:row>
    <x:row r="86">
      <x:c r="A86" s="364" t="n">
        <x:v>33</x:v>
      </x:c>
      <x:c r="B86" s="372" t="str">
        <x:f>'Денежный поток'!$B$43</x:f>
        <x:v>Эксплуатация</x:v>
      </x:c>
      <x:c r="C86" s="373" t="n">
        <x:f>'Денежный поток'!$F$43</x:f>
        <x:v>125833.33333333333</x:v>
      </x:c>
      <x:c r="D86" s="365" t="n">
        <x:f>IF(A86&gt;'Допущения'!$C$12,'Сравнение'!$H$9/12,0)</x:f>
        <x:v>730000</x:v>
      </x:c>
      <x:c r="E86" s="365" t="n">
        <x:f>IF(A86&gt;'Допущения'!$C$12,'Сравнение'!$H$13/12,0)</x:f>
        <x:v>520833.3333333333</x:v>
      </x:c>
      <x:c r="F86" s="365" t="n">
        <x:f>IF(A86&gt;'Допущения'!$C$12,'Сравнение'!$H$17/12,0)</x:f>
        <x:v>18666.666666666668</x:v>
      </x:c>
      <x:c r="G86" s="365" t="n">
        <x:f>SUM(D86:F86)</x:f>
        <x:v>1269500</x:v>
      </x:c>
      <x:c r="H86" s="365" t="n">
        <x:f>G86-C86</x:f>
        <x:v>1143666.6666666667</x:v>
      </x:c>
      <x:c r="I86" s="366" t="n">
        <x:f>1/(1+$B$7)^A86</x:f>
        <x:v>0.6728210081013206</x:v>
      </x:c>
      <x:c r="J86" s="365" t="n">
        <x:f>C86*I86</x:f>
        <x:v>84663.31018608285</x:v>
      </x:c>
      <x:c r="K86" s="365" t="n">
        <x:f>G86*I86</x:f>
        <x:v>854146.2697846266</x:v>
      </x:c>
      <x:c r="L86" s="377" t="n">
        <x:f>H86*I86</x:f>
        <x:v>769482.9595985437</x:v>
      </x:c>
      <x:c r="M86" s="377" t="n">
        <x:f>M85+H86</x:f>
        <x:v>9924000.000000002</x:v>
      </x:c>
      <x:c r="N86" s="377" t="n">
        <x:f>N85+L86</x:f>
        <x:v>4125660.5143850353</x:v>
      </x:c>
      <x:c r="O86" s="364" t="n">
        <x:f>IF(AND(M86&gt;=0,M85&lt;0),A86,0)</x:f>
        <x:v>0</x:v>
      </x:c>
      <x:c r="P86" s="364" t="n">
        <x:f>IF(AND(N86&gt;=0,N85&lt;0),A86,0)</x:f>
        <x:v>0</x:v>
      </x:c>
      <x:c r="Q86" s="364" t="n">
        <x:f>0</x:f>
        <x:v>0</x:v>
      </x:c>
    </x:row>
    <x:row r="87">
      <x:c r="A87" s="364" t="n">
        <x:v>34</x:v>
      </x:c>
      <x:c r="B87" s="372" t="str">
        <x:f>'Денежный поток'!$B$44</x:f>
        <x:v>Эксплуатация</x:v>
      </x:c>
      <x:c r="C87" s="373" t="n">
        <x:f>'Денежный поток'!$F$44</x:f>
        <x:v>125833.33333333333</x:v>
      </x:c>
      <x:c r="D87" s="365" t="n">
        <x:f>IF(A87&gt;'Допущения'!$C$12,'Сравнение'!$H$9/12,0)</x:f>
        <x:v>730000</x:v>
      </x:c>
      <x:c r="E87" s="365" t="n">
        <x:f>IF(A87&gt;'Допущения'!$C$12,'Сравнение'!$H$13/12,0)</x:f>
        <x:v>520833.3333333333</x:v>
      </x:c>
      <x:c r="F87" s="365" t="n">
        <x:f>IF(A87&gt;'Допущения'!$C$12,'Сравнение'!$H$17/12,0)</x:f>
        <x:v>18666.666666666668</x:v>
      </x:c>
      <x:c r="G87" s="365" t="n">
        <x:f>SUM(D87:F87)</x:f>
        <x:v>1269500</x:v>
      </x:c>
      <x:c r="H87" s="365" t="n">
        <x:f>G87-C87</x:f>
        <x:v>1143666.6666666667</x:v>
      </x:c>
      <x:c r="I87" s="366" t="n">
        <x:f>1/(1+$B$7)^A87</x:f>
        <x:v>0.6647898469296745</x:v>
      </x:c>
      <x:c r="J87" s="365" t="n">
        <x:f>C87*I87</x:f>
        <x:v>83652.72240531737</x:v>
      </x:c>
      <x:c r="K87" s="365" t="n">
        <x:f>G87*I87</x:f>
        <x:v>843950.7106772218</x:v>
      </x:c>
      <x:c r="L87" s="377" t="n">
        <x:f>H87*I87</x:f>
        <x:v>760297.9882719044</x:v>
      </x:c>
      <x:c r="M87" s="377" t="n">
        <x:f>M86+H87</x:f>
        <x:v>11067666.666666668</x:v>
      </x:c>
      <x:c r="N87" s="377" t="n">
        <x:f>N86+L87</x:f>
        <x:v>4885958.502656939</x:v>
      </x:c>
      <x:c r="O87" s="364" t="n">
        <x:f>IF(AND(M87&gt;=0,M86&lt;0),A87,0)</x:f>
        <x:v>0</x:v>
      </x:c>
      <x:c r="P87" s="364" t="n">
        <x:f>IF(AND(N87&gt;=0,N86&lt;0),A87,0)</x:f>
        <x:v>0</x:v>
      </x:c>
      <x:c r="Q87" s="364" t="n">
        <x:f>0</x:f>
        <x:v>0</x:v>
      </x:c>
    </x:row>
    <x:row r="88">
      <x:c r="A88" s="364" t="n">
        <x:v>35</x:v>
      </x:c>
      <x:c r="B88" s="372" t="str">
        <x:f>'Денежный поток'!$B$45</x:f>
        <x:v>Эксплуатация</x:v>
      </x:c>
      <x:c r="C88" s="373" t="n">
        <x:f>'Денежный поток'!$F$45</x:f>
        <x:v>125833.33333333333</x:v>
      </x:c>
      <x:c r="D88" s="365" t="n">
        <x:f>IF(A88&gt;'Допущения'!$C$12,'Сравнение'!$H$9/12,0)</x:f>
        <x:v>730000</x:v>
      </x:c>
      <x:c r="E88" s="365" t="n">
        <x:f>IF(A88&gt;'Допущения'!$C$12,'Сравнение'!$H$13/12,0)</x:f>
        <x:v>520833.3333333333</x:v>
      </x:c>
      <x:c r="F88" s="365" t="n">
        <x:f>IF(A88&gt;'Допущения'!$C$12,'Сравнение'!$H$17/12,0)</x:f>
        <x:v>18666.666666666668</x:v>
      </x:c>
      <x:c r="G88" s="365" t="n">
        <x:f>SUM(D88:F88)</x:f>
        <x:v>1269500</x:v>
      </x:c>
      <x:c r="H88" s="365" t="n">
        <x:f>G88-C88</x:f>
        <x:v>1143666.6666666667</x:v>
      </x:c>
      <x:c r="I88" s="366" t="n">
        <x:f>1/(1+$B$7)^A88</x:f>
        <x:v>0.656854550109748</x:v>
      </x:c>
      <x:c r="J88" s="365" t="n">
        <x:f>C88*I88</x:f>
        <x:v>82654.19755547662</x:v>
      </x:c>
      <x:c r="K88" s="365" t="n">
        <x:f>G88*I88</x:f>
        <x:v>833876.8513643251</x:v>
      </x:c>
      <x:c r="L88" s="377" t="n">
        <x:f>H88*I88</x:f>
        <x:v>751222.6538088486</x:v>
      </x:c>
      <x:c r="M88" s="377" t="n">
        <x:f>M87+H88</x:f>
        <x:v>12211333.333333334</x:v>
      </x:c>
      <x:c r="N88" s="377" t="n">
        <x:f>N87+L88</x:f>
        <x:v>5637181.156465788</x:v>
      </x:c>
      <x:c r="O88" s="364" t="n">
        <x:f>IF(AND(M88&gt;=0,M87&lt;0),A88,0)</x:f>
        <x:v>0</x:v>
      </x:c>
      <x:c r="P88" s="364" t="n">
        <x:f>IF(AND(N88&gt;=0,N87&lt;0),A88,0)</x:f>
        <x:v>0</x:v>
      </x:c>
      <x:c r="Q88" s="364" t="n">
        <x:f>0</x:f>
        <x:v>0</x:v>
      </x:c>
    </x:row>
    <x:row r="89">
      <x:c r="A89" s="367" t="n">
        <x:v>36</x:v>
      </x:c>
      <x:c r="B89" s="374" t="str">
        <x:f>'Денежный поток'!$B$46</x:f>
        <x:v>Эксплуатация</x:v>
      </x:c>
      <x:c r="C89" s="375" t="n">
        <x:f>'Денежный поток'!$F$46</x:f>
        <x:v>125833.33333333333</x:v>
      </x:c>
      <x:c r="D89" s="368" t="n">
        <x:f>IF(A89&gt;'Допущения'!$C$12,'Сравнение'!$H$9/12,0)</x:f>
        <x:v>730000</x:v>
      </x:c>
      <x:c r="E89" s="368" t="n">
        <x:f>IF(A89&gt;'Допущения'!$C$12,'Сравнение'!$H$13/12,0)</x:f>
        <x:v>520833.3333333333</x:v>
      </x:c>
      <x:c r="F89" s="368" t="n">
        <x:f>IF(A89&gt;'Допущения'!$C$12,'Сравнение'!$H$17/12,0)</x:f>
        <x:v>18666.666666666668</x:v>
      </x:c>
      <x:c r="G89" s="368" t="n">
        <x:f>SUM(D89:F89)</x:f>
        <x:v>1269500</x:v>
      </x:c>
      <x:c r="H89" s="368" t="n">
        <x:f>G89-C89</x:f>
        <x:v>1143666.6666666667</x:v>
      </x:c>
      <x:c r="I89" s="369" t="n">
        <x:f>1/(1+$B$7)^A89</x:f>
        <x:v>0.6490139733519751</x:v>
      </x:c>
      <x:c r="J89" s="368" t="n">
        <x:f>C89*I89</x:f>
        <x:v>81667.5916467902</x:v>
      </x:c>
      <x:c r="K89" s="368" t="n">
        <x:f>G89*I89</x:f>
        <x:v>823923.2391703323</x:v>
      </x:c>
      <x:c r="L89" s="378" t="n">
        <x:f>H89*I89</x:f>
        <x:v>742255.6475235422</x:v>
      </x:c>
      <x:c r="M89" s="378" t="n">
        <x:f>M88+H89</x:f>
        <x:v>13355000</x:v>
      </x:c>
      <x:c r="N89" s="378" t="n">
        <x:f>N88+L89</x:f>
        <x:v>6379436.80398933</x:v>
      </x:c>
      <x:c r="O89" s="367" t="n">
        <x:f>IF(AND(M89&gt;=0,M88&lt;0),A89,0)</x:f>
        <x:v>0</x:v>
      </x:c>
      <x:c r="P89" s="367" t="n">
        <x:f>IF(AND(N89&gt;=0,N88&lt;0),A89,0)</x:f>
        <x:v>0</x:v>
      </x:c>
      <x:c r="Q89" s="367" t="n">
        <x:f>0</x:f>
        <x:v>0</x:v>
      </x:c>
    </x:row>
    <x:row r="90">
      <x:c r="A90" s="330"/>
      <x:c r="B90" s="330"/>
      <x:c r="C90" s="330"/>
      <x:c r="D90" s="330"/>
      <x:c r="E90" s="330"/>
      <x:c r="F90" s="330"/>
      <x:c r="G90" s="330"/>
      <x:c r="H90" s="330"/>
      <x:c r="I90" s="330"/>
      <x:c r="J90" s="330"/>
      <x:c r="K90" s="330"/>
      <x:c r="L90" s="330"/>
      <x:c r="M90" s="330"/>
      <x:c r="N90" s="330"/>
      <x:c r="O90" s="330"/>
      <x:c r="P90" s="330"/>
      <x:c r="Q90" s="330"/>
    </x:row>
    <x:row r="91">
      <x:c r="A91" s="332" t="str">
        <x:v>Сводные инвестиционные показатели</x:v>
      </x:c>
      <x:c r="B91" s="332"/>
      <x:c r="C91" s="332"/>
      <x:c r="D91" s="332"/>
      <x:c r="E91" s="330"/>
      <x:c r="F91" s="330"/>
      <x:c r="G91" s="330"/>
      <x:c r="H91" s="330"/>
      <x:c r="I91" s="330"/>
      <x:c r="J91" s="330"/>
      <x:c r="K91" s="330"/>
      <x:c r="L91" s="330"/>
      <x:c r="M91" s="330"/>
      <x:c r="N91" s="330"/>
      <x:c r="O91" s="330"/>
      <x:c r="P91" s="330"/>
      <x:c r="Q91" s="330"/>
    </x:row>
    <x:row r="92">
      <x:c r="A92" s="330"/>
      <x:c r="B92" s="330"/>
      <x:c r="C92" s="330"/>
      <x:c r="D92" s="330"/>
      <x:c r="E92" s="330"/>
      <x:c r="F92" s="330"/>
      <x:c r="G92" s="330"/>
      <x:c r="H92" s="330"/>
      <x:c r="I92" s="330"/>
      <x:c r="J92" s="330"/>
      <x:c r="K92" s="330"/>
      <x:c r="L92" s="330"/>
      <x:c r="M92" s="330"/>
      <x:c r="N92" s="330"/>
      <x:c r="O92" s="330"/>
      <x:c r="P92" s="330"/>
      <x:c r="Q92" s="330"/>
    </x:row>
    <x:row r="93">
      <x:c r="A93" s="385" t="str">
        <x:v>Показатель</x:v>
      </x:c>
      <x:c r="B93" s="385" t="str">
        <x:v>Студенты</x:v>
      </x:c>
      <x:c r="C93" s="385" t="str">
        <x:v>НПЗ / МС</x:v>
      </x:c>
      <x:c r="D93" s="385" t="str">
        <x:v>Определение</x:v>
      </x:c>
      <x:c r="E93" s="330"/>
      <x:c r="F93" s="330"/>
      <x:c r="G93" s="330"/>
      <x:c r="H93" s="330"/>
      <x:c r="I93" s="330"/>
      <x:c r="J93" s="330"/>
      <x:c r="K93" s="330"/>
      <x:c r="L93" s="330"/>
      <x:c r="M93" s="330"/>
      <x:c r="N93" s="330"/>
      <x:c r="O93" s="330"/>
      <x:c r="P93" s="330"/>
      <x:c r="Q93" s="330"/>
    </x:row>
    <x:row r="94">
      <x:c r="A94" s="386" t="str">
        <x:v>Первоначальные инвестиции</x:v>
      </x:c>
      <x:c r="B94" s="393" t="n">
        <x:f>'Сравнение'!$B$39</x:f>
        <x:v>20955000</x:v>
      </x:c>
      <x:c r="C94" s="393" t="n">
        <x:f>'Сравнение'!$B$39</x:f>
        <x:v>20955000</x:v>
      </x:c>
      <x:c r="D94" s="386" t="str">
        <x:v>Затраты на разработку, инфраструктуру, GPU, обучение и резерв</x:v>
      </x:c>
      <x:c r="E94" s="330"/>
      <x:c r="F94" s="330"/>
      <x:c r="G94" s="330"/>
      <x:c r="H94" s="330"/>
      <x:c r="I94" s="330"/>
      <x:c r="J94" s="330"/>
      <x:c r="K94" s="330"/>
      <x:c r="L94" s="330"/>
      <x:c r="M94" s="330"/>
      <x:c r="N94" s="330"/>
      <x:c r="O94" s="330"/>
      <x:c r="P94" s="330"/>
      <x:c r="Q94" s="330"/>
    </x:row>
    <x:row r="95">
      <x:c r="A95" s="387" t="str">
        <x:v>Годовой валовый эффект</x:v>
      </x:c>
      <x:c r="B95" s="394" t="n">
        <x:f>'Сравнение'!$D$18</x:f>
        <x:v>28329142.857142854</x:v>
      </x:c>
      <x:c r="C95" s="394" t="n">
        <x:f>'Сравнение'!$H$18</x:f>
        <x:v>15234000</x:v>
      </x:c>
      <x:c r="D95" s="387" t="str">
        <x:v>Сокращение труда, простоя и времени подключения</x:v>
      </x:c>
      <x:c r="E95" s="330"/>
      <x:c r="F95" s="330"/>
      <x:c r="G95" s="330"/>
      <x:c r="H95" s="330"/>
      <x:c r="I95" s="330"/>
      <x:c r="J95" s="330"/>
      <x:c r="K95" s="330"/>
      <x:c r="L95" s="330"/>
      <x:c r="M95" s="330"/>
      <x:c r="N95" s="330"/>
      <x:c r="O95" s="330"/>
      <x:c r="P95" s="330"/>
      <x:c r="Q95" s="330"/>
    </x:row>
    <x:row r="96">
      <x:c r="A96" s="387" t="str">
        <x:v>Годовой чистый эффект</x:v>
      </x:c>
      <x:c r="B96" s="394" t="n">
        <x:f>'Сравнение'!$G$31</x:f>
        <x:v>26819142.857142854</x:v>
      </x:c>
      <x:c r="C96" s="394" t="n">
        <x:f>'Сравнение'!$G$32</x:f>
        <x:v>13724000</x:v>
      </x:c>
      <x:c r="D96" s="387" t="str">
        <x:v>Валовый эффект за вычетом ежегодного OPEX</x:v>
      </x:c>
      <x:c r="E96" s="330"/>
      <x:c r="F96" s="330"/>
      <x:c r="G96" s="330"/>
      <x:c r="H96" s="330"/>
      <x:c r="I96" s="330"/>
      <x:c r="J96" s="330"/>
      <x:c r="K96" s="330"/>
      <x:c r="L96" s="330"/>
      <x:c r="M96" s="330"/>
      <x:c r="N96" s="330"/>
      <x:c r="O96" s="330"/>
      <x:c r="P96" s="330"/>
      <x:c r="Q96" s="330"/>
    </x:row>
    <x:row r="97">
      <x:c r="A97" s="387" t="str">
        <x:v>Чистый эффект без дисконтирования</x:v>
      </x:c>
      <x:c r="B97" s="394" t="n">
        <x:f>SUM(H13:H49)</x:f>
        <x:v>46092857.14285715</x:v>
      </x:c>
      <x:c r="C97" s="394" t="n">
        <x:f>SUM(H53:H89)</x:f>
        <x:v>13355000</x:v>
      </x:c>
      <x:c r="D97" s="387" t="str">
        <x:v>Сумма номинальных чистых потоков за 36 месяцев</x:v>
      </x:c>
      <x:c r="E97" s="330"/>
      <x:c r="F97" s="330"/>
      <x:c r="G97" s="330"/>
      <x:c r="H97" s="330"/>
      <x:c r="I97" s="330"/>
      <x:c r="J97" s="330"/>
      <x:c r="K97" s="330"/>
      <x:c r="L97" s="330"/>
      <x:c r="M97" s="330"/>
      <x:c r="N97" s="330"/>
      <x:c r="O97" s="330"/>
      <x:c r="P97" s="330"/>
      <x:c r="Q97" s="330"/>
    </x:row>
    <x:row r="98">
      <x:c r="A98" s="387" t="str">
        <x:v>NPV</x:v>
      </x:c>
      <x:c r="B98" s="394" t="n">
        <x:f>SUM(L13:L49)</x:f>
        <x:v>31804820.164622106</x:v>
      </x:c>
      <x:c r="C98" s="394" t="n">
        <x:f>SUM(L53:L89)</x:f>
        <x:v>6379436.80398933</x:v>
      </x:c>
      <x:c r="D98" s="387" t="str">
        <x:v>Сумма дисконтированных чистых потоков</x:v>
      </x:c>
      <x:c r="E98" s="330"/>
      <x:c r="F98" s="330"/>
      <x:c r="G98" s="330"/>
      <x:c r="H98" s="330"/>
      <x:c r="I98" s="330"/>
      <x:c r="J98" s="330"/>
      <x:c r="K98" s="330"/>
      <x:c r="L98" s="330"/>
      <x:c r="M98" s="330"/>
      <x:c r="N98" s="330"/>
      <x:c r="O98" s="330"/>
      <x:c r="P98" s="330"/>
      <x:c r="Q98" s="330"/>
    </x:row>
    <x:row r="99">
      <x:c r="A99" s="387" t="str">
        <x:v>PI без дисконтирования</x:v>
      </x:c>
      <x:c r="B99" s="395" t="n">
        <x:f>SUM(G13:G49)/SUM(C13:C49)</x:f>
        <x:v>2.8638437987406884</x:v>
      </x:c>
      <x:c r="C99" s="395" t="n">
        <x:f>SUM(G53:G89)/SUM(C53:C89)</x:f>
        <x:v>1.5400323493732333</x:v>
      </x:c>
      <x:c r="D99" s="387" t="str">
        <x:v>Номинальные выгоды / номинальные затраты</x:v>
      </x:c>
      <x:c r="E99" s="330"/>
      <x:c r="F99" s="330"/>
      <x:c r="G99" s="330"/>
      <x:c r="H99" s="330"/>
      <x:c r="I99" s="330"/>
      <x:c r="J99" s="330"/>
      <x:c r="K99" s="330"/>
      <x:c r="L99" s="330"/>
      <x:c r="M99" s="330"/>
      <x:c r="N99" s="330"/>
      <x:c r="O99" s="330"/>
      <x:c r="P99" s="330"/>
      <x:c r="Q99" s="330"/>
    </x:row>
    <x:row r="100">
      <x:c r="A100" s="387" t="str">
        <x:v>PI дисконтированный</x:v>
      </x:c>
      <x:c r="B100" s="395" t="n">
        <x:f>SUM(K13:K49)/SUM(J13:J49)</x:f>
        <x:v>2.3709726035511642</x:v>
      </x:c>
      <x:c r="C100" s="395" t="n">
        <x:f>SUM(K53:K89)/SUM(J53:J89)</x:f>
        <x:v>1.2749908045096876</x:v>
      </x:c>
      <x:c r="D100" s="387" t="str">
        <x:v>PV выгод / PV затрат</x:v>
      </x:c>
      <x:c r="E100" s="330"/>
      <x:c r="F100" s="330"/>
      <x:c r="G100" s="330"/>
      <x:c r="H100" s="330"/>
      <x:c r="I100" s="330"/>
      <x:c r="J100" s="330"/>
      <x:c r="K100" s="330"/>
      <x:c r="L100" s="330"/>
      <x:c r="M100" s="330"/>
      <x:c r="N100" s="330"/>
      <x:c r="O100" s="330"/>
      <x:c r="P100" s="330"/>
      <x:c r="Q100" s="330"/>
    </x:row>
    <x:row r="101">
      <x:c r="A101" s="387" t="str">
        <x:v>ROI без дисконтирования</x:v>
      </x:c>
      <x:c r="B101" s="396" t="n">
        <x:f>B99-1</x:f>
        <x:v>1.8638437987406884</x:v>
      </x:c>
      <x:c r="C101" s="396" t="n">
        <x:f>C99-1</x:f>
        <x:v>0.5400323493732333</x:v>
      </x:c>
      <x:c r="D101" s="387" t="str">
        <x:v>Номинальная доходность на совокупные затраты</x:v>
      </x:c>
      <x:c r="E101" s="330"/>
      <x:c r="F101" s="330"/>
      <x:c r="G101" s="330"/>
      <x:c r="H101" s="330"/>
      <x:c r="I101" s="330"/>
      <x:c r="J101" s="330"/>
      <x:c r="K101" s="330"/>
      <x:c r="L101" s="330"/>
      <x:c r="M101" s="330"/>
      <x:c r="N101" s="330"/>
      <x:c r="O101" s="330"/>
      <x:c r="P101" s="330"/>
      <x:c r="Q101" s="330"/>
    </x:row>
    <x:row r="102">
      <x:c r="A102" s="387" t="str">
        <x:v>ROI дисконтированный</x:v>
      </x:c>
      <x:c r="B102" s="396" t="n">
        <x:f>B100-1</x:f>
        <x:v>1.3709726035511642</x:v>
      </x:c>
      <x:c r="C102" s="396" t="n">
        <x:f>C100-1</x:f>
        <x:v>0.2749908045096876</x:v>
      </x:c>
      <x:c r="D102" s="387" t="str">
        <x:v>Дисконтированная доходность на PV затрат</x:v>
      </x:c>
      <x:c r="E102" s="330"/>
      <x:c r="F102" s="330"/>
      <x:c r="G102" s="330"/>
      <x:c r="H102" s="330"/>
      <x:c r="I102" s="330"/>
      <x:c r="J102" s="330"/>
      <x:c r="K102" s="330"/>
      <x:c r="L102" s="330"/>
      <x:c r="M102" s="330"/>
      <x:c r="N102" s="330"/>
      <x:c r="O102" s="330"/>
      <x:c r="P102" s="330"/>
      <x:c r="Q102" s="330"/>
    </x:row>
    <x:row r="103">
      <x:c r="A103" s="387" t="str">
        <x:v>Простой срок окупаемости</x:v>
      </x:c>
      <x:c r="B103" s="397" t="n">
        <x:f>IF(SUM(O13:O49)=0,0,SUM(O13:O49)-1+ABS(INDEX(M13:M49,SUM(O13:O49)))/INDEX(H13:H49,SUM(O13:O49)+1))</x:f>
        <x:v>15.376138579053343</x:v>
      </x:c>
      <x:c r="C103" s="397" t="n">
        <x:f>IF(SUM(O53:O89)=0,0,SUM(O53:O89)-1+ABS(INDEX(M53:M89,SUM(O53:O89)))/INDEX(H53:H89,SUM(O53:O89)+1))</x:f>
        <x:v>24.322646458758378</x:v>
      </x:c>
      <x:c r="D103" s="387" t="str">
        <x:v>Пересечение накопленного номинального потока</x:v>
      </x:c>
      <x:c r="E103" s="330"/>
      <x:c r="F103" s="330"/>
      <x:c r="G103" s="330"/>
      <x:c r="H103" s="330"/>
      <x:c r="I103" s="330"/>
      <x:c r="J103" s="330"/>
      <x:c r="K103" s="330"/>
      <x:c r="L103" s="330"/>
      <x:c r="M103" s="330"/>
      <x:c r="N103" s="330"/>
      <x:c r="O103" s="330"/>
      <x:c r="P103" s="330"/>
      <x:c r="Q103" s="330"/>
    </x:row>
    <x:row r="104">
      <x:c r="A104" s="387" t="str">
        <x:v>Дисконтированный срок окупаемости</x:v>
      </x:c>
      <x:c r="B104" s="397" t="n">
        <x:f>IF(SUM(P13:P49)=0,0,SUM(P13:P49)-1+ABS(INDEX(N13:N49,SUM(P13:P49)))/INDEX(L13:L49,SUM(P13:P49)+1))</x:f>
        <x:v>16.43286576290858</x:v>
      </x:c>
      <x:c r="C104" s="397" t="n">
        <x:f>IF(SUM(P53:P89)=0,0,SUM(P53:P89)-1+ABS(INDEX(N53:N89,SUM(P53:P89)))/INDEX(L53:L89,SUM(P53:P89)+1))</x:f>
        <x:v>27.774621550602845</x:v>
      </x:c>
      <x:c r="D104" s="387" t="str">
        <x:v>Пересечение CDD</x:v>
      </x:c>
      <x:c r="E104" s="330"/>
      <x:c r="F104" s="330"/>
      <x:c r="G104" s="330"/>
      <x:c r="H104" s="330"/>
      <x:c r="I104" s="330"/>
      <x:c r="J104" s="330"/>
      <x:c r="K104" s="330"/>
      <x:c r="L104" s="330"/>
      <x:c r="M104" s="330"/>
      <x:c r="N104" s="330"/>
      <x:c r="O104" s="330"/>
      <x:c r="P104" s="330"/>
      <x:c r="Q104" s="330"/>
    </x:row>
    <x:row r="105">
      <x:c r="A105" s="387" t="str">
        <x:v>IRR, годовая</x:v>
      </x:c>
      <x:c r="B105" s="396" t="n">
        <x:f>IF(AND(MIN(H13:H49)&lt;0,MAX(H13:H49)&gt;0),(1+IRR(H13:H49))^12-1,0)</x:f>
        <x:v>1.3587758409116004</x:v>
      </x:c>
      <x:c r="C105" s="396" t="n">
        <x:f>IF(AND(MIN(H53:H89)&lt;0,MAX(H53:H89)&gt;0),(1+IRR(H53:H89))^12-1,0)</x:f>
        <x:v>0.3964818023353913</x:v>
      </x:c>
      <x:c r="D105" s="387" t="str">
        <x:v>Месячный IRR, приведенный к эффективной годовой ставке</x:v>
      </x:c>
      <x:c r="E105" s="330"/>
      <x:c r="F105" s="330"/>
      <x:c r="G105" s="330"/>
      <x:c r="H105" s="330"/>
      <x:c r="I105" s="330"/>
      <x:c r="J105" s="330"/>
      <x:c r="K105" s="330"/>
      <x:c r="L105" s="330"/>
      <x:c r="M105" s="330"/>
      <x:c r="N105" s="330"/>
      <x:c r="O105" s="330"/>
      <x:c r="P105" s="330"/>
      <x:c r="Q105" s="330"/>
    </x:row>
    <x:row r="106">
      <x:c r="A106" s="387" t="str">
        <x:v>CDD на горизонте</x:v>
      </x:c>
      <x:c r="B106" s="394" t="n">
        <x:f>N49</x:f>
        <x:v>31804820.164622106</x:v>
      </x:c>
      <x:c r="C106" s="394" t="n">
        <x:f>N89</x:f>
        <x:v>6379436.80398933</x:v>
      </x:c>
      <x:c r="D106" s="387" t="str">
        <x:v>Накопленный дисконтированный поток; на горизонте равен NPV</x:v>
      </x:c>
      <x:c r="E106" s="330"/>
      <x:c r="F106" s="330"/>
      <x:c r="G106" s="330"/>
      <x:c r="H106" s="330"/>
      <x:c r="I106" s="330"/>
      <x:c r="J106" s="330"/>
      <x:c r="K106" s="330"/>
      <x:c r="L106" s="330"/>
      <x:c r="M106" s="330"/>
      <x:c r="N106" s="330"/>
      <x:c r="O106" s="330"/>
      <x:c r="P106" s="330"/>
      <x:c r="Q106" s="330"/>
    </x:row>
    <x:row r="107">
      <x:c r="A107" s="387" t="str">
        <x:v>Контроль NPV − CDD</x:v>
      </x:c>
      <x:c r="B107" s="394" t="n">
        <x:f>B98-B106</x:f>
        <x:v>0</x:v>
      </x:c>
      <x:c r="C107" s="394" t="n">
        <x:f>C98-C106</x:f>
        <x:v>0</x:v>
      </x:c>
      <x:c r="D107" s="387" t="str">
        <x:v>Должно быть равно нулю</x:v>
      </x:c>
      <x:c r="E107" s="330"/>
      <x:c r="F107" s="330"/>
      <x:c r="G107" s="330"/>
      <x:c r="H107" s="330"/>
      <x:c r="I107" s="330"/>
      <x:c r="J107" s="330"/>
      <x:c r="K107" s="330"/>
      <x:c r="L107" s="330"/>
      <x:c r="M107" s="330"/>
      <x:c r="N107" s="330"/>
      <x:c r="O107" s="330"/>
      <x:c r="P107" s="330"/>
      <x:c r="Q107" s="330"/>
    </x:row>
    <x:row r="108">
      <x:c r="A108" s="330"/>
      <x:c r="B108" s="330"/>
      <x:c r="C108" s="330"/>
      <x:c r="D108" s="330"/>
      <x:c r="E108" s="330"/>
      <x:c r="F108" s="330"/>
      <x:c r="G108" s="330"/>
      <x:c r="H108" s="330"/>
      <x:c r="I108" s="330"/>
      <x:c r="J108" s="330"/>
      <x:c r="K108" s="330"/>
      <x:c r="L108" s="330"/>
      <x:c r="M108" s="330"/>
      <x:c r="N108" s="330"/>
      <x:c r="O108" s="330"/>
      <x:c r="P108" s="330"/>
      <x:c r="Q108" s="330"/>
    </x:row>
    <x:row r="109">
      <x:c r="A109" s="330"/>
      <x:c r="B109" s="330"/>
      <x:c r="C109" s="330"/>
      <x:c r="D109" s="330"/>
      <x:c r="E109" s="330"/>
      <x:c r="F109" s="330"/>
      <x:c r="G109" s="330"/>
      <x:c r="H109" s="330"/>
      <x:c r="I109" s="330"/>
      <x:c r="J109" s="330"/>
      <x:c r="K109" s="330"/>
      <x:c r="L109" s="330"/>
      <x:c r="M109" s="330"/>
      <x:c r="N109" s="330"/>
      <x:c r="O109" s="330"/>
      <x:c r="P109" s="330"/>
      <x:c r="Q109" s="330"/>
    </x:row>
    <x:row r="110">
      <x:c r="A110" s="332" t="str">
        <x:v>Чувствительность NPV активного сценария</x:v>
      </x:c>
      <x:c r="B110" s="332"/>
      <x:c r="C110" s="332"/>
      <x:c r="D110" s="332"/>
      <x:c r="E110" s="332"/>
      <x:c r="F110" s="332"/>
      <x:c r="G110" s="330"/>
      <x:c r="H110" s="330"/>
      <x:c r="I110" s="330"/>
      <x:c r="J110" s="330"/>
      <x:c r="K110" s="330"/>
      <x:c r="L110" s="330"/>
      <x:c r="M110" s="330"/>
      <x:c r="N110" s="330"/>
      <x:c r="O110" s="330"/>
      <x:c r="P110" s="330"/>
      <x:c r="Q110" s="330"/>
    </x:row>
    <x:row r="111">
      <x:c r="A111" s="330"/>
      <x:c r="B111" s="330"/>
      <x:c r="C111" s="330"/>
      <x:c r="D111" s="330"/>
      <x:c r="E111" s="330"/>
      <x:c r="F111" s="330"/>
      <x:c r="G111" s="330"/>
      <x:c r="H111" s="330"/>
      <x:c r="I111" s="330"/>
      <x:c r="J111" s="330"/>
      <x:c r="K111" s="330"/>
      <x:c r="L111" s="330"/>
      <x:c r="M111" s="330"/>
      <x:c r="N111" s="330"/>
      <x:c r="O111" s="330"/>
      <x:c r="P111" s="330"/>
      <x:c r="Q111" s="330"/>
    </x:row>
    <x:row r="112">
      <x:c r="A112" s="398" t="str">
        <x:v>Множитель эффекта</x:v>
      </x:c>
      <x:c r="B112" s="398" t="n">
        <x:v>0.14</x:v>
      </x:c>
      <x:c r="C112" s="398" t="n">
        <x:v>0.155</x:v>
      </x:c>
      <x:c r="D112" s="398" t="n">
        <x:v>0.17</x:v>
      </x:c>
      <x:c r="E112" s="398" t="n">
        <x:v>0.185</x:v>
      </x:c>
      <x:c r="F112" s="398" t="n">
        <x:v>0.2</x:v>
      </x:c>
      <x:c r="G112" s="330"/>
      <x:c r="H112" s="330"/>
      <x:c r="I112" s="330"/>
      <x:c r="J112" s="330"/>
      <x:c r="K112" s="330"/>
      <x:c r="L112" s="330"/>
      <x:c r="M112" s="330"/>
      <x:c r="N112" s="330"/>
      <x:c r="O112" s="330"/>
      <x:c r="P112" s="330"/>
      <x:c r="Q112" s="330"/>
    </x:row>
    <x:row r="113">
      <x:c r="A113" s="400" t="n">
        <x:v>0.7</x:v>
      </x:c>
      <x:c r="B113" s="401" t="n">
        <x:f>IF('Допущения'!$C$4="Студенты",SUMPRODUCT(($G$13:$G$49*$A113-$C$13:$C$49)/(1+B$112)^($A$13:$A$49/12)),SUMPRODUCT(($G$53:$G$89*$A113-$C$53:$C$89)/(1+B$112)^($A$53:$A$89/12)))</x:f>
        <x:v>16051740.940831278</x:v>
      </x:c>
      <x:c r="C113" s="401" t="n">
        <x:f>IF('Допущения'!$C$4="Студенты",SUMPRODUCT(($G$13:$G$49*$A113-$C$13:$C$49)/(1+C$112)^($A$13:$A$49/12)),SUMPRODUCT(($G$53:$G$89*$A113-$C$53:$C$89)/(1+C$112)^($A$53:$A$89/12)))</x:f>
        <x:v>15303755.794145787</x:v>
      </x:c>
      <x:c r="D113" s="401" t="n">
        <x:f>IF('Допущения'!$C$4="Студенты",SUMPRODUCT(($G$13:$G$49*$A113-$C$13:$C$49)/(1+D$112)^($A$13:$A$49/12)),SUMPRODUCT(($G$53:$G$89*$A113-$C$53:$C$89)/(1+D$112)^($A$53:$A$89/12)))</x:f>
        <x:v>14585799.10508907</x:v>
      </x:c>
      <x:c r="E113" s="401" t="n">
        <x:f>IF('Допущения'!$C$4="Студенты",SUMPRODUCT(($G$13:$G$49*$A113-$C$13:$C$49)/(1+E$112)^($A$13:$A$49/12)),SUMPRODUCT(($G$53:$G$89*$A113-$C$53:$C$89)/(1+E$112)^($A$53:$A$89/12)))</x:f>
        <x:v>13896275.520642793</x:v>
      </x:c>
      <x:c r="F113" s="401" t="n">
        <x:f>IF('Допущения'!$C$4="Студенты",SUMPRODUCT(($G$13:$G$49*$A113-$C$13:$C$49)/(1+F$112)^($A$13:$A$49/12)),SUMPRODUCT(($G$53:$G$89*$A113-$C$53:$C$89)/(1+F$112)^($A$53:$A$89/12)))</x:f>
        <x:v>13233694.456996387</x:v>
      </x:c>
      <x:c r="G113" s="330"/>
      <x:c r="H113" s="330"/>
      <x:c r="I113" s="330"/>
      <x:c r="J113" s="330"/>
      <x:c r="K113" s="330"/>
      <x:c r="L113" s="330"/>
      <x:c r="M113" s="330"/>
      <x:c r="N113" s="330"/>
      <x:c r="O113" s="330"/>
      <x:c r="P113" s="330"/>
      <x:c r="Q113" s="330"/>
    </x:row>
    <x:row r="114">
      <x:c r="A114" s="400" t="n">
        <x:v>0.85</x:v>
      </x:c>
      <x:c r="B114" s="401" t="n">
        <x:f>IF('Допущения'!$C$4="Студенты",SUMPRODUCT(($G$13:$G$49*$A114-$C$13:$C$49)/(1+B$112)^($A$13:$A$49/12)),SUMPRODUCT(($G$53:$G$89*$A114-$C$53:$C$89)/(1+B$112)^($A$53:$A$89/12)))</x:f>
        <x:v>24489905.492231067</x:v>
      </x:c>
      <x:c r="C114" s="401" t="n">
        <x:f>IF('Допущения'!$C$4="Студенты",SUMPRODUCT(($G$13:$G$49*$A114-$C$13:$C$49)/(1+C$112)^($A$13:$A$49/12)),SUMPRODUCT(($G$53:$G$89*$A114-$C$53:$C$89)/(1+C$112)^($A$53:$A$89/12)))</x:f>
        <x:v>23554287.979383897</x:v>
      </x:c>
      <x:c r="D114" s="401" t="n">
        <x:f>IF('Допущения'!$C$4="Студенты",SUMPRODUCT(($G$13:$G$49*$A114-$C$13:$C$49)/(1+D$112)^($A$13:$A$49/12)),SUMPRODUCT(($G$53:$G$89*$A114-$C$53:$C$89)/(1+D$112)^($A$53:$A$89/12)))</x:f>
        <x:v>22655911.29594814</x:v>
      </x:c>
      <x:c r="E114" s="401" t="n">
        <x:f>IF('Допущения'!$C$4="Студенты",SUMPRODUCT(($G$13:$G$49*$A114-$C$13:$C$49)/(1+E$112)^($A$13:$A$49/12)),SUMPRODUCT(($G$53:$G$89*$A114-$C$53:$C$89)/(1+E$112)^($A$53:$A$89/12)))</x:f>
        <x:v>21792802.59964551</x:v>
      </x:c>
      <x:c r="F114" s="401" t="n">
        <x:f>IF('Допущения'!$C$4="Студенты",SUMPRODUCT(($G$13:$G$49*$A114-$C$13:$C$49)/(1+F$112)^($A$13:$A$49/12)),SUMPRODUCT(($G$53:$G$89*$A114-$C$53:$C$89)/(1+F$112)^($A$53:$A$89/12)))</x:f>
        <x:v>20963118.434074394</x:v>
      </x:c>
      <x:c r="G114" s="330"/>
      <x:c r="H114" s="330"/>
      <x:c r="I114" s="330"/>
      <x:c r="J114" s="330"/>
      <x:c r="K114" s="330"/>
      <x:c r="L114" s="330"/>
      <x:c r="M114" s="330"/>
      <x:c r="N114" s="330"/>
      <x:c r="O114" s="330"/>
      <x:c r="P114" s="330"/>
      <x:c r="Q114" s="330"/>
    </x:row>
    <x:row r="115">
      <x:c r="A115" s="400" t="n">
        <x:v>1</x:v>
      </x:c>
      <x:c r="B115" s="401" t="n">
        <x:f>IF('Допущения'!$C$4="Студенты",SUMPRODUCT(($G$13:$G$49*$A115-$C$13:$C$49)/(1+B$112)^($A$13:$A$49/12)),SUMPRODUCT(($G$53:$G$89*$A115-$C$53:$C$89)/(1+B$112)^($A$53:$A$89/12)))</x:f>
        <x:v>32928070.04363084</x:v>
      </x:c>
      <x:c r="C115" s="401" t="n">
        <x:f>IF('Допущения'!$C$4="Студенты",SUMPRODUCT(($G$13:$G$49*$A115-$C$13:$C$49)/(1+C$112)^($A$13:$A$49/12)),SUMPRODUCT(($G$53:$G$89*$A115-$C$53:$C$89)/(1+C$112)^($A$53:$A$89/12)))</x:f>
        <x:v>31804820.164622013</x:v>
      </x:c>
      <x:c r="D115" s="401" t="n">
        <x:f>IF('Допущения'!$C$4="Студенты",SUMPRODUCT(($G$13:$G$49*$A115-$C$13:$C$49)/(1+D$112)^($A$13:$A$49/12)),SUMPRODUCT(($G$53:$G$89*$A115-$C$53:$C$89)/(1+D$112)^($A$53:$A$89/12)))</x:f>
        <x:v>30726023.48680719</x:v>
      </x:c>
      <x:c r="E115" s="401" t="n">
        <x:f>IF('Допущения'!$C$4="Студенты",SUMPRODUCT(($G$13:$G$49*$A115-$C$13:$C$49)/(1+E$112)^($A$13:$A$49/12)),SUMPRODUCT(($G$53:$G$89*$A115-$C$53:$C$89)/(1+E$112)^($A$53:$A$89/12)))</x:f>
        <x:v>29689329.67864822</x:v>
      </x:c>
      <x:c r="F115" s="401" t="n">
        <x:f>IF('Допущения'!$C$4="Студенты",SUMPRODUCT(($G$13:$G$49*$A115-$C$13:$C$49)/(1+F$112)^($A$13:$A$49/12)),SUMPRODUCT(($G$53:$G$89*$A115-$C$53:$C$89)/(1+F$112)^($A$53:$A$89/12)))</x:f>
        <x:v>28692542.411152378</x:v>
      </x:c>
      <x:c r="G115" s="330"/>
      <x:c r="H115" s="330"/>
      <x:c r="I115" s="330"/>
      <x:c r="J115" s="330"/>
      <x:c r="K115" s="330"/>
      <x:c r="L115" s="330"/>
      <x:c r="M115" s="330"/>
      <x:c r="N115" s="330"/>
      <x:c r="O115" s="330"/>
      <x:c r="P115" s="330"/>
      <x:c r="Q115" s="330"/>
    </x:row>
    <x:row r="116">
      <x:c r="A116" s="400" t="n">
        <x:v>1.15</x:v>
      </x:c>
      <x:c r="B116" s="401" t="n">
        <x:f>IF('Допущения'!$C$4="Студенты",SUMPRODUCT(($G$13:$G$49*$A116-$C$13:$C$49)/(1+B$112)^($A$13:$A$49/12)),SUMPRODUCT(($G$53:$G$89*$A116-$C$53:$C$89)/(1+B$112)^($A$53:$A$89/12)))</x:f>
        <x:v>41366234.59503062</x:v>
      </x:c>
      <x:c r="C116" s="401" t="n">
        <x:f>IF('Допущения'!$C$4="Студенты",SUMPRODUCT(($G$13:$G$49*$A116-$C$13:$C$49)/(1+C$112)^($A$13:$A$49/12)),SUMPRODUCT(($G$53:$G$89*$A116-$C$53:$C$89)/(1+C$112)^($A$53:$A$89/12)))</x:f>
        <x:v>40055352.34986012</x:v>
      </x:c>
      <x:c r="D116" s="401" t="n">
        <x:f>IF('Допущения'!$C$4="Студенты",SUMPRODUCT(($G$13:$G$49*$A116-$C$13:$C$49)/(1+D$112)^($A$13:$A$49/12)),SUMPRODUCT(($G$53:$G$89*$A116-$C$53:$C$89)/(1+D$112)^($A$53:$A$89/12)))</x:f>
        <x:v>38796135.67766625</x:v>
      </x:c>
      <x:c r="E116" s="401" t="n">
        <x:f>IF('Допущения'!$C$4="Студенты",SUMPRODUCT(($G$13:$G$49*$A116-$C$13:$C$49)/(1+E$112)^($A$13:$A$49/12)),SUMPRODUCT(($G$53:$G$89*$A116-$C$53:$C$89)/(1+E$112)^($A$53:$A$89/12)))</x:f>
        <x:v>37585856.75765093</x:v>
      </x:c>
      <x:c r="F116" s="401" t="n">
        <x:f>IF('Допущения'!$C$4="Студенты",SUMPRODUCT(($G$13:$G$49*$A116-$C$13:$C$49)/(1+F$112)^($A$13:$A$49/12)),SUMPRODUCT(($G$53:$G$89*$A116-$C$53:$C$89)/(1+F$112)^($A$53:$A$89/12)))</x:f>
        <x:v>36421966.38823039</x:v>
      </x:c>
      <x:c r="G116" s="330"/>
      <x:c r="H116" s="330"/>
      <x:c r="I116" s="330"/>
      <x:c r="J116" s="330"/>
      <x:c r="K116" s="330"/>
      <x:c r="L116" s="330"/>
      <x:c r="M116" s="330"/>
      <x:c r="N116" s="330"/>
      <x:c r="O116" s="330"/>
      <x:c r="P116" s="330"/>
      <x:c r="Q116" s="330"/>
    </x:row>
    <x:row r="117">
      <x:c r="A117" s="400" t="n">
        <x:v>1.3</x:v>
      </x:c>
      <x:c r="B117" s="401" t="n">
        <x:f>IF('Допущения'!$C$4="Студенты",SUMPRODUCT(($G$13:$G$49*$A117-$C$13:$C$49)/(1+B$112)^($A$13:$A$49/12)),SUMPRODUCT(($G$53:$G$89*$A117-$C$53:$C$89)/(1+B$112)^($A$53:$A$89/12)))</x:f>
        <x:v>49804399.14643041</x:v>
      </x:c>
      <x:c r="C117" s="401" t="n">
        <x:f>IF('Допущения'!$C$4="Студенты",SUMPRODUCT(($G$13:$G$49*$A117-$C$13:$C$49)/(1+C$112)^($A$13:$A$49/12)),SUMPRODUCT(($G$53:$G$89*$A117-$C$53:$C$89)/(1+C$112)^($A$53:$A$89/12)))</x:f>
        <x:v>48305884.535098225</x:v>
      </x:c>
      <x:c r="D117" s="401" t="n">
        <x:f>IF('Допущения'!$C$4="Студенты",SUMPRODUCT(($G$13:$G$49*$A117-$C$13:$C$49)/(1+D$112)^($A$13:$A$49/12)),SUMPRODUCT(($G$53:$G$89*$A117-$C$53:$C$89)/(1+D$112)^($A$53:$A$89/12)))</x:f>
        <x:v>46866247.86852531</x:v>
      </x:c>
      <x:c r="E117" s="401" t="n">
        <x:f>IF('Допущения'!$C$4="Студенты",SUMPRODUCT(($G$13:$G$49*$A117-$C$13:$C$49)/(1+E$112)^($A$13:$A$49/12)),SUMPRODUCT(($G$53:$G$89*$A117-$C$53:$C$89)/(1+E$112)^($A$53:$A$89/12)))</x:f>
        <x:v>45482383.836653635</x:v>
      </x:c>
      <x:c r="F117" s="401" t="n">
        <x:f>IF('Допущения'!$C$4="Студенты",SUMPRODUCT(($G$13:$G$49*$A117-$C$13:$C$49)/(1+F$112)^($A$13:$A$49/12)),SUMPRODUCT(($G$53:$G$89*$A117-$C$53:$C$89)/(1+F$112)^($A$53:$A$89/12)))</x:f>
        <x:v>44151390.36530839</x:v>
      </x:c>
      <x:c r="G117" s="330"/>
      <x:c r="H117" s="330"/>
      <x:c r="I117" s="330"/>
      <x:c r="J117" s="330"/>
      <x:c r="K117" s="330"/>
      <x:c r="L117" s="330"/>
      <x:c r="M117" s="330"/>
      <x:c r="N117" s="330"/>
      <x:c r="O117" s="330"/>
      <x:c r="P117" s="330"/>
      <x:c r="Q117" s="330"/>
    </x:row>
    <x:row r="118">
      <x:c r="A118" s="330"/>
      <x:c r="B118" s="330"/>
      <x:c r="C118" s="330"/>
      <x:c r="D118" s="330"/>
      <x:c r="E118" s="330"/>
      <x:c r="F118" s="330"/>
      <x:c r="G118" s="330"/>
      <x:c r="H118" s="330"/>
      <x:c r="I118" s="330"/>
      <x:c r="J118" s="330"/>
      <x:c r="K118" s="330"/>
      <x:c r="L118" s="330"/>
      <x:c r="M118" s="330"/>
      <x:c r="N118" s="330"/>
      <x:c r="O118" s="330"/>
      <x:c r="P118" s="330"/>
      <x:c r="Q118" s="330"/>
    </x:row>
    <x:row r="119">
      <x:c r="A119" s="330"/>
      <x:c r="B119" s="330"/>
      <x:c r="C119" s="330"/>
      <x:c r="D119" s="330"/>
      <x:c r="E119" s="330"/>
      <x:c r="F119" s="330"/>
      <x:c r="G119" s="330"/>
      <x:c r="H119" s="330"/>
      <x:c r="I119" s="330"/>
      <x:c r="J119" s="330"/>
      <x:c r="K119" s="330"/>
      <x:c r="L119" s="330"/>
      <x:c r="M119" s="330"/>
      <x:c r="N119" s="330"/>
      <x:c r="O119" s="330"/>
      <x:c r="P119" s="330"/>
      <x:c r="Q119" s="330"/>
    </x:row>
    <x:row r="120">
      <x:c r="A120" s="330"/>
      <x:c r="B120" s="330"/>
      <x:c r="C120" s="330"/>
      <x:c r="D120" s="330"/>
      <x:c r="E120" s="330"/>
      <x:c r="F120" s="330"/>
      <x:c r="G120" s="330"/>
      <x:c r="H120" s="330"/>
      <x:c r="I120" s="330"/>
      <x:c r="J120" s="330"/>
      <x:c r="K120" s="330"/>
      <x:c r="L120" s="330"/>
      <x:c r="M120" s="330"/>
      <x:c r="N120" s="330"/>
      <x:c r="O120" s="330"/>
      <x:c r="P120" s="330"/>
      <x:c r="Q120" s="330"/>
    </x:row>
    <x:row r="121">
      <x:c r="A121" s="402" t="str">
        <x:v>Ставка</x:v>
      </x:c>
      <x:c r="B121" s="402" t="str">
        <x:v>NPV Студенты</x:v>
      </x:c>
      <x:c r="C121" s="402" t="str">
        <x:v>NPV НПЗ / МС</x:v>
      </x:c>
      <x:c r="D121" s="402" t="str">
        <x:v>Подпись</x:v>
      </x:c>
      <x:c r="E121" s="330"/>
      <x:c r="F121" s="330"/>
      <x:c r="G121" s="330"/>
      <x:c r="H121" s="330"/>
      <x:c r="I121" s="330"/>
      <x:c r="J121" s="330"/>
      <x:c r="K121" s="330"/>
      <x:c r="L121" s="330"/>
      <x:c r="M121" s="330"/>
      <x:c r="N121" s="330"/>
      <x:c r="O121" s="330"/>
      <x:c r="P121" s="330"/>
      <x:c r="Q121" s="330"/>
    </x:row>
    <x:row r="122">
      <x:c r="A122" s="403" t="n">
        <x:v>0.14</x:v>
      </x:c>
      <x:c r="B122" s="359" t="n">
        <x:f>SUMPRODUCT($H$13:$H$49/(1+$A122)^($A$13:$A$49/12))</x:f>
        <x:v>32928070.04363084</x:v>
      </x:c>
      <x:c r="C122" s="359" t="n">
        <x:f>SUMPRODUCT($H$53:$H$89/(1+$A122)^($A$53:$A$89/12))</x:f>
        <x:v>6924466.4259995865</x:v>
      </x:c>
      <x:c r="D122" s="330" t="str">
        <x:v>14,0%</x:v>
      </x:c>
      <x:c r="E122" s="330"/>
      <x:c r="F122" s="330"/>
      <x:c r="G122" s="330"/>
      <x:c r="H122" s="330"/>
      <x:c r="I122" s="330"/>
      <x:c r="J122" s="330"/>
      <x:c r="K122" s="330"/>
      <x:c r="L122" s="330"/>
      <x:c r="M122" s="330"/>
      <x:c r="N122" s="330"/>
      <x:c r="O122" s="330"/>
      <x:c r="P122" s="330"/>
      <x:c r="Q122" s="330"/>
    </x:row>
    <x:row r="123">
      <x:c r="A123" s="403" t="n">
        <x:v>0.155</x:v>
      </x:c>
      <x:c r="B123" s="359" t="n">
        <x:f>SUMPRODUCT($H$13:$H$49/(1+$A123)^($A$13:$A$49/12))</x:f>
        <x:v>31804820.164622013</x:v>
      </x:c>
      <x:c r="C123" s="359" t="n">
        <x:f>SUMPRODUCT($H$53:$H$89/(1+$A123)^($A$53:$A$89/12))</x:f>
        <x:v>6379436.80398929</x:v>
      </x:c>
      <x:c r="D123" s="330" t="str">
        <x:v>15,5%</x:v>
      </x:c>
      <x:c r="E123" s="330"/>
      <x:c r="F123" s="330"/>
      <x:c r="G123" s="330"/>
      <x:c r="H123" s="330"/>
      <x:c r="I123" s="330"/>
      <x:c r="J123" s="330"/>
      <x:c r="K123" s="330"/>
      <x:c r="L123" s="330"/>
      <x:c r="M123" s="330"/>
      <x:c r="N123" s="330"/>
      <x:c r="O123" s="330"/>
      <x:c r="P123" s="330"/>
      <x:c r="Q123" s="330"/>
    </x:row>
    <x:row r="124">
      <x:c r="A124" s="403" t="n">
        <x:v>0.17</x:v>
      </x:c>
      <x:c r="B124" s="359" t="n">
        <x:f>SUMPRODUCT($H$13:$H$49/(1+$A124)^($A$13:$A$49/12))</x:f>
        <x:v>30726023.48680719</x:v>
      </x:c>
      <x:c r="C124" s="359" t="n">
        <x:f>SUMPRODUCT($H$53:$H$89/(1+$A124)^($A$53:$A$89/12))</x:f>
        <x:v>5856634.263282149</x:v>
      </x:c>
      <x:c r="D124" s="330" t="str">
        <x:v>17,0%</x:v>
      </x:c>
      <x:c r="E124" s="330"/>
      <x:c r="F124" s="330"/>
      <x:c r="G124" s="330"/>
      <x:c r="H124" s="330"/>
      <x:c r="I124" s="330"/>
      <x:c r="J124" s="330"/>
      <x:c r="K124" s="330"/>
      <x:c r="L124" s="330"/>
      <x:c r="M124" s="330"/>
      <x:c r="N124" s="330"/>
      <x:c r="O124" s="330"/>
      <x:c r="P124" s="330"/>
      <x:c r="Q124" s="330"/>
    </x:row>
    <x:row r="125">
      <x:c r="A125" s="403" t="n">
        <x:v>0.185</x:v>
      </x:c>
      <x:c r="B125" s="359" t="n">
        <x:f>SUMPRODUCT($H$13:$H$49/(1+$A125)^($A$13:$A$49/12))</x:f>
        <x:v>29689329.67864822</x:v>
      </x:c>
      <x:c r="C125" s="359" t="n">
        <x:f>SUMPRODUCT($H$53:$H$89/(1+$A125)^($A$53:$A$89/12))</x:f>
        <x:v>5354871.768104726</x:v>
      </x:c>
      <x:c r="D125" s="330" t="str">
        <x:v>18,5%</x:v>
      </x:c>
      <x:c r="E125" s="330"/>
      <x:c r="F125" s="330"/>
      <x:c r="G125" s="330"/>
      <x:c r="H125" s="330"/>
      <x:c r="I125" s="330"/>
      <x:c r="J125" s="330"/>
      <x:c r="K125" s="330"/>
      <x:c r="L125" s="330"/>
      <x:c r="M125" s="330"/>
      <x:c r="N125" s="330"/>
      <x:c r="O125" s="330"/>
      <x:c r="P125" s="330"/>
      <x:c r="Q125" s="330"/>
    </x:row>
    <x:row r="126">
      <x:c r="A126" s="403" t="n">
        <x:v>0.2</x:v>
      </x:c>
      <x:c r="B126" s="359" t="n">
        <x:f>SUMPRODUCT($H$13:$H$49/(1+$A126)^($A$13:$A$49/12))</x:f>
        <x:v>28692542.411152378</x:v>
      </x:c>
      <x:c r="C126" s="359" t="n">
        <x:f>SUMPRODUCT($H$53:$H$89/(1+$A126)^($A$53:$A$89/12))</x:f>
        <x:v>4873040.4248810755</x:v>
      </x:c>
      <x:c r="D126" s="330" t="str">
        <x:v>20,0%</x:v>
      </x:c>
      <x:c r="E126" s="330"/>
      <x:c r="F126" s="330"/>
      <x:c r="G126" s="330"/>
      <x:c r="H126" s="330"/>
      <x:c r="I126" s="330"/>
      <x:c r="J126" s="330"/>
      <x:c r="K126" s="330"/>
      <x:c r="L126" s="330"/>
      <x:c r="M126" s="330"/>
      <x:c r="N126" s="330"/>
      <x:c r="O126" s="330"/>
      <x:c r="P126" s="330"/>
      <x:c r="Q126" s="330"/>
    </x:row>
    <x:row r="127">
      <x:c r="A127" s="330"/>
      <x:c r="B127" s="330"/>
      <x:c r="C127" s="330"/>
      <x:c r="D127" s="330"/>
      <x:c r="E127" s="330"/>
      <x:c r="F127" s="330"/>
      <x:c r="G127" s="330"/>
      <x:c r="H127" s="330"/>
      <x:c r="I127" s="330"/>
      <x:c r="J127" s="330"/>
      <x:c r="K127" s="330"/>
      <x:c r="L127" s="330"/>
      <x:c r="M127" s="330"/>
      <x:c r="N127" s="330"/>
      <x:c r="O127" s="330"/>
      <x:c r="P127" s="330"/>
      <x:c r="Q127" s="330"/>
    </x:row>
    <x:row r="128">
      <x:c r="A128" s="330"/>
      <x:c r="B128" s="330"/>
      <x:c r="C128" s="330"/>
      <x:c r="D128" s="330"/>
      <x:c r="E128" s="330"/>
      <x:c r="F128" s="330"/>
      <x:c r="G128" s="330"/>
      <x:c r="H128" s="330"/>
      <x:c r="I128" s="330"/>
      <x:c r="J128" s="330"/>
      <x:c r="K128" s="330"/>
      <x:c r="L128" s="330"/>
      <x:c r="M128" s="330"/>
      <x:c r="N128" s="330"/>
      <x:c r="O128" s="330"/>
      <x:c r="P128" s="330"/>
      <x:c r="Q128" s="330"/>
    </x:row>
    <x:row r="129">
      <x:c r="A129" s="330"/>
      <x:c r="B129" s="330"/>
      <x:c r="C129" s="330"/>
      <x:c r="D129" s="330"/>
      <x:c r="E129" s="330"/>
      <x:c r="F129" s="330"/>
      <x:c r="G129" s="330"/>
      <x:c r="H129" s="330"/>
      <x:c r="I129" s="330"/>
      <x:c r="J129" s="330"/>
      <x:c r="K129" s="330"/>
      <x:c r="L129" s="330"/>
      <x:c r="M129" s="330"/>
      <x:c r="N129" s="330"/>
      <x:c r="O129" s="330"/>
      <x:c r="P129" s="330"/>
      <x:c r="Q129" s="330"/>
    </x:row>
    <x:row r="130">
      <x:c r="A130" s="330"/>
      <x:c r="B130" s="330"/>
      <x:c r="C130" s="330"/>
      <x:c r="D130" s="330"/>
      <x:c r="E130" s="330"/>
      <x:c r="F130" s="330"/>
      <x:c r="G130" s="330"/>
      <x:c r="H130" s="330"/>
      <x:c r="I130" s="330"/>
      <x:c r="J130" s="330"/>
      <x:c r="K130" s="330"/>
      <x:c r="L130" s="330"/>
      <x:c r="M130" s="330"/>
      <x:c r="N130" s="330"/>
      <x:c r="O130" s="330"/>
      <x:c r="P130" s="330"/>
      <x:c r="Q130" s="330"/>
    </x:row>
    <x:row r="131">
      <x:c r="A131" s="402" t="str">
        <x:v>Месяц</x:v>
      </x:c>
      <x:c r="B131" s="402" t="str">
        <x:v>CCF</x:v>
      </x:c>
      <x:c r="C131" s="402" t="str">
        <x:v>CDD</x:v>
      </x:c>
      <x:c r="D131" s="402" t="str">
        <x:v>Ноль</x:v>
      </x:c>
      <x:c r="E131" s="330"/>
      <x:c r="F131" s="330"/>
      <x:c r="G131" s="330"/>
      <x:c r="H131" s="330"/>
      <x:c r="I131" s="330"/>
      <x:c r="J131" s="330"/>
      <x:c r="K131" s="330"/>
      <x:c r="L131" s="330"/>
      <x:c r="M131" s="330"/>
      <x:c r="N131" s="330"/>
      <x:c r="O131" s="330"/>
      <x:c r="P131" s="330"/>
      <x:c r="Q131" s="330"/>
    </x:row>
    <x:row r="132">
      <x:c r="A132" s="330" t="n">
        <x:v>0</x:v>
      </x:c>
      <x:c r="B132" s="359" t="n">
        <x:f>IF('Допущения'!$C$4="Студенты",$M$13,$M$53)</x:f>
        <x:v>-4155000</x:v>
      </x:c>
      <x:c r="C132" s="359" t="n">
        <x:f>IF('Допущения'!$C$4="Студенты",$N$13,$N$53)</x:f>
        <x:v>-4155000</x:v>
      </x:c>
      <x:c r="D132" s="330" t="n">
        <x:f>0</x:f>
        <x:v>0</x:v>
      </x:c>
      <x:c r="E132" s="330"/>
      <x:c r="F132" s="330"/>
      <x:c r="G132" s="330"/>
      <x:c r="H132" s="330"/>
      <x:c r="I132" s="330"/>
      <x:c r="J132" s="330"/>
      <x:c r="K132" s="330"/>
      <x:c r="L132" s="330"/>
      <x:c r="M132" s="330"/>
      <x:c r="N132" s="330"/>
      <x:c r="O132" s="330"/>
      <x:c r="P132" s="330"/>
      <x:c r="Q132" s="330"/>
    </x:row>
    <x:row r="133">
      <x:c r="A133" s="330" t="n">
        <x:v>1</x:v>
      </x:c>
      <x:c r="B133" s="359" t="n">
        <x:f>IF('Допущения'!$C$4="Студенты",$M$14,$M$54)</x:f>
        <x:v>-6955000</x:v>
      </x:c>
      <x:c r="C133" s="359" t="n">
        <x:f>IF('Допущения'!$C$4="Студенты",$N$14,$N$54)</x:f>
        <x:v>-6921577.661800324</x:v>
      </x:c>
      <x:c r="D133" s="330" t="n">
        <x:f>0</x:f>
        <x:v>0</x:v>
      </x:c>
      <x:c r="E133" s="330"/>
      <x:c r="F133" s="330"/>
      <x:c r="G133" s="330"/>
      <x:c r="H133" s="330"/>
      <x:c r="I133" s="330"/>
      <x:c r="J133" s="330"/>
      <x:c r="K133" s="330"/>
      <x:c r="L133" s="330"/>
      <x:c r="M133" s="330"/>
      <x:c r="N133" s="330"/>
      <x:c r="O133" s="330"/>
      <x:c r="P133" s="330"/>
      <x:c r="Q133" s="330"/>
    </x:row>
    <x:row r="134">
      <x:c r="A134" s="330" t="n">
        <x:v>2</x:v>
      </x:c>
      <x:c r="B134" s="359" t="n">
        <x:f>IF('Допущения'!$C$4="Студенты",$M$15,$M$55)</x:f>
        <x:v>-9755000</x:v>
      </x:c>
      <x:c r="C134" s="359" t="n">
        <x:f>IF('Допущения'!$C$4="Студенты",$N$15,$N$55)</x:f>
        <x:v>-9655131.93279052</x:v>
      </x:c>
      <x:c r="D134" s="330" t="n">
        <x:f>0</x:f>
        <x:v>0</x:v>
      </x:c>
      <x:c r="E134" s="330"/>
      <x:c r="F134" s="330"/>
      <x:c r="G134" s="330"/>
      <x:c r="H134" s="330"/>
      <x:c r="I134" s="330"/>
      <x:c r="J134" s="330"/>
      <x:c r="K134" s="330"/>
      <x:c r="L134" s="330"/>
      <x:c r="M134" s="330"/>
      <x:c r="N134" s="330"/>
      <x:c r="O134" s="330"/>
      <x:c r="P134" s="330"/>
      <x:c r="Q134" s="330"/>
    </x:row>
    <x:row r="135">
      <x:c r="A135" s="330" t="n">
        <x:v>3</x:v>
      </x:c>
      <x:c r="B135" s="359" t="n">
        <x:f>IF('Допущения'!$C$4="Студенты",$M$16,$M$56)</x:f>
        <x:v>-12555000</x:v>
      </x:c>
      <x:c r="C135" s="359" t="n">
        <x:f>IF('Допущения'!$C$4="Студенты",$N$16,$N$56)</x:f>
        <x:v>-12356056.99830493</x:v>
      </x:c>
      <x:c r="D135" s="330" t="n">
        <x:f>0</x:f>
        <x:v>0</x:v>
      </x:c>
      <x:c r="E135" s="330"/>
      <x:c r="F135" s="330"/>
      <x:c r="G135" s="330"/>
      <x:c r="H135" s="330"/>
      <x:c r="I135" s="330"/>
      <x:c r="J135" s="330"/>
      <x:c r="K135" s="330"/>
      <x:c r="L135" s="330"/>
      <x:c r="M135" s="330"/>
      <x:c r="N135" s="330"/>
      <x:c r="O135" s="330"/>
      <x:c r="P135" s="330"/>
      <x:c r="Q135" s="330"/>
    </x:row>
    <x:row r="136">
      <x:c r="A136" s="330" t="n">
        <x:v>4</x:v>
      </x:c>
      <x:c r="B136" s="359" t="n">
        <x:f>IF('Допущения'!$C$4="Студенты",$M$17,$M$57)</x:f>
        <x:v>-15355000</x:v>
      </x:c>
      <x:c r="C136" s="359" t="n">
        <x:f>IF('Допущения'!$C$4="Студенты",$N$17,$N$57)</x:f>
        <x:v>-15024742.338465195</x:v>
      </x:c>
      <x:c r="D136" s="330" t="n">
        <x:f>0</x:f>
        <x:v>0</x:v>
      </x:c>
      <x:c r="E136" s="330"/>
      <x:c r="F136" s="330"/>
      <x:c r="G136" s="330"/>
      <x:c r="H136" s="330"/>
      <x:c r="I136" s="330"/>
      <x:c r="J136" s="330"/>
      <x:c r="K136" s="330"/>
      <x:c r="L136" s="330"/>
      <x:c r="M136" s="330"/>
      <x:c r="N136" s="330"/>
      <x:c r="O136" s="330"/>
      <x:c r="P136" s="330"/>
      <x:c r="Q136" s="330"/>
    </x:row>
    <x:row r="137">
      <x:c r="A137" s="330" t="n">
        <x:v>5</x:v>
      </x:c>
      <x:c r="B137" s="359" t="n">
        <x:f>IF('Допущения'!$C$4="Студенты",$M$18,$M$58)</x:f>
        <x:v>-18155000</x:v>
      </x:c>
      <x:c r="C137" s="359" t="n">
        <x:f>IF('Допущения'!$C$4="Студенты",$N$18,$N$58)</x:f>
        <x:v>-17661572.784344263</x:v>
      </x:c>
      <x:c r="D137" s="330" t="n">
        <x:f>0</x:f>
        <x:v>0</x:v>
      </x:c>
      <x:c r="E137" s="330"/>
      <x:c r="F137" s="330"/>
      <x:c r="G137" s="330"/>
      <x:c r="H137" s="330"/>
      <x:c r="I137" s="330"/>
      <x:c r="J137" s="330"/>
      <x:c r="K137" s="330"/>
      <x:c r="L137" s="330"/>
      <x:c r="M137" s="330"/>
      <x:c r="N137" s="330"/>
      <x:c r="O137" s="330"/>
      <x:c r="P137" s="330"/>
      <x:c r="Q137" s="330"/>
    </x:row>
    <x:row r="138">
      <x:c r="A138" s="330" t="n">
        <x:v>6</x:v>
      </x:c>
      <x:c r="B138" s="359" t="n">
        <x:f>IF('Допущения'!$C$4="Студенты",$M$19,$M$59)</x:f>
        <x:v>-20955000</x:v>
      </x:c>
      <x:c r="C138" s="359" t="n">
        <x:f>IF('Допущения'!$C$4="Студенты",$N$19,$N$59)</x:f>
        <x:v>-20266928.573459983</x:v>
      </x:c>
      <x:c r="D138" s="330" t="n">
        <x:f>0</x:f>
        <x:v>0</x:v>
      </x:c>
      <x:c r="E138" s="330"/>
      <x:c r="F138" s="330"/>
      <x:c r="G138" s="330"/>
      <x:c r="H138" s="330"/>
      <x:c r="I138" s="330"/>
      <x:c r="J138" s="330"/>
      <x:c r="K138" s="330"/>
      <x:c r="L138" s="330"/>
      <x:c r="M138" s="330"/>
      <x:c r="N138" s="330"/>
      <x:c r="O138" s="330"/>
      <x:c r="P138" s="330"/>
      <x:c r="Q138" s="330"/>
    </x:row>
    <x:row r="139">
      <x:c r="A139" s="330" t="n">
        <x:v>7</x:v>
      </x:c>
      <x:c r="B139" s="359" t="n">
        <x:f>IF('Допущения'!$C$4="Студенты",$M$20,$M$60)</x:f>
        <x:v>-18720071.42857143</x:v>
      </x:c>
      <x:c r="C139" s="359" t="n">
        <x:f>IF('Допущения'!$C$4="Студенты",$N$20,$N$60)</x:f>
        <x:v>-18212185.66555852</x:v>
      </x:c>
      <x:c r="D139" s="330" t="n">
        <x:f>0</x:f>
        <x:v>0</x:v>
      </x:c>
      <x:c r="E139" s="330"/>
      <x:c r="F139" s="330"/>
      <x:c r="G139" s="330"/>
      <x:c r="H139" s="330"/>
      <x:c r="I139" s="330"/>
      <x:c r="J139" s="330"/>
      <x:c r="K139" s="330"/>
      <x:c r="L139" s="330"/>
      <x:c r="M139" s="330"/>
      <x:c r="N139" s="330"/>
      <x:c r="O139" s="330"/>
      <x:c r="P139" s="330"/>
      <x:c r="Q139" s="330"/>
    </x:row>
    <x:row r="140">
      <x:c r="A140" s="330" t="n">
        <x:v>8</x:v>
      </x:c>
      <x:c r="B140" s="359" t="n">
        <x:f>IF('Допущения'!$C$4="Студенты",$M$21,$M$61)</x:f>
        <x:v>-16485142.857142858</x:v>
      </x:c>
      <x:c r="C140" s="359" t="n">
        <x:f>IF('Допущения'!$C$4="Студенты",$N$21,$N$61)</x:f>
        <x:v>-16181969.297793226</x:v>
      </x:c>
      <x:c r="D140" s="330" t="n">
        <x:f>0</x:f>
        <x:v>0</x:v>
      </x:c>
      <x:c r="E140" s="330"/>
      <x:c r="F140" s="330"/>
      <x:c r="G140" s="330"/>
      <x:c r="H140" s="330"/>
      <x:c r="I140" s="330"/>
      <x:c r="J140" s="330"/>
      <x:c r="K140" s="330"/>
      <x:c r="L140" s="330"/>
      <x:c r="M140" s="330"/>
      <x:c r="N140" s="330"/>
      <x:c r="O140" s="330"/>
      <x:c r="P140" s="330"/>
      <x:c r="Q140" s="330"/>
    </x:row>
    <x:row r="141">
      <x:c r="A141" s="330" t="n">
        <x:v>9</x:v>
      </x:c>
      <x:c r="B141" s="359" t="n">
        <x:f>IF('Допущения'!$C$4="Студенты",$M$22,$M$62)</x:f>
        <x:v>-14250214.285714287</x:v>
      </x:c>
      <x:c r="C141" s="359" t="n">
        <x:f>IF('Допущения'!$C$4="Студенты",$N$22,$N$62)</x:f>
        <x:v>-14175986.707907205</x:v>
      </x:c>
      <x:c r="D141" s="330" t="n">
        <x:f>0</x:f>
        <x:v>0</x:v>
      </x:c>
      <x:c r="E141" s="330"/>
      <x:c r="F141" s="330"/>
      <x:c r="G141" s="330"/>
      <x:c r="H141" s="330"/>
      <x:c r="I141" s="330"/>
      <x:c r="J141" s="330"/>
      <x:c r="K141" s="330"/>
      <x:c r="L141" s="330"/>
      <x:c r="M141" s="330"/>
      <x:c r="N141" s="330"/>
      <x:c r="O141" s="330"/>
      <x:c r="P141" s="330"/>
      <x:c r="Q141" s="330"/>
    </x:row>
    <x:row r="142">
      <x:c r="A142" s="330" t="n">
        <x:v>10</x:v>
      </x:c>
      <x:c r="B142" s="359" t="n">
        <x:f>IF('Допущения'!$C$4="Студенты",$M$23,$M$63)</x:f>
        <x:v>-12015285.714285716</x:v>
      </x:c>
      <x:c r="C142" s="359" t="n">
        <x:f>IF('Допущения'!$C$4="Студенты",$N$23,$N$63)</x:f>
        <x:v>-12193948.628214696</x:v>
      </x:c>
      <x:c r="D142" s="330" t="n">
        <x:f>0</x:f>
        <x:v>0</x:v>
      </x:c>
      <x:c r="E142" s="330"/>
      <x:c r="F142" s="330"/>
      <x:c r="G142" s="330"/>
      <x:c r="H142" s="330"/>
      <x:c r="I142" s="330"/>
      <x:c r="J142" s="330"/>
      <x:c r="K142" s="330"/>
      <x:c r="L142" s="330"/>
      <x:c r="M142" s="330"/>
      <x:c r="N142" s="330"/>
      <x:c r="O142" s="330"/>
      <x:c r="P142" s="330"/>
      <x:c r="Q142" s="330"/>
    </x:row>
    <x:row r="143">
      <x:c r="A143" s="330" t="n">
        <x:v>11</x:v>
      </x:c>
      <x:c r="B143" s="359" t="n">
        <x:f>IF('Допущения'!$C$4="Студенты",$M$24,$M$64)</x:f>
        <x:v>-9780357.142857146</x:v>
      </x:c>
      <x:c r="C143" s="359" t="n">
        <x:f>IF('Допущения'!$C$4="Студенты",$N$24,$N$64)</x:f>
        <x:v>-10235569.243887944</x:v>
      </x:c>
      <x:c r="D143" s="330" t="n">
        <x:f>0</x:f>
        <x:v>0</x:v>
      </x:c>
      <x:c r="E143" s="330"/>
      <x:c r="F143" s="330"/>
      <x:c r="G143" s="330"/>
      <x:c r="H143" s="330"/>
      <x:c r="I143" s="330"/>
      <x:c r="J143" s="330"/>
      <x:c r="K143" s="330"/>
      <x:c r="L143" s="330"/>
      <x:c r="M143" s="330"/>
      <x:c r="N143" s="330"/>
      <x:c r="O143" s="330"/>
      <x:c r="P143" s="330"/>
      <x:c r="Q143" s="330"/>
    </x:row>
    <x:row r="144">
      <x:c r="A144" s="330" t="n">
        <x:v>12</x:v>
      </x:c>
      <x:c r="B144" s="359" t="n">
        <x:f>IF('Допущения'!$C$4="Студенты",$M$25,$M$65)</x:f>
        <x:v>-7545428.571428575</x:v>
      </x:c>
      <x:c r="C144" s="359" t="n">
        <x:f>IF('Допущения'!$C$4="Студенты",$N$25,$N$65)</x:f>
        <x:v>-8300566.151741993</x:v>
      </x:c>
      <x:c r="D144" s="330" t="n">
        <x:f>0</x:f>
        <x:v>0</x:v>
      </x:c>
      <x:c r="E144" s="330"/>
      <x:c r="F144" s="330"/>
      <x:c r="G144" s="330"/>
      <x:c r="H144" s="330"/>
      <x:c r="I144" s="330"/>
      <x:c r="J144" s="330"/>
      <x:c r="K144" s="330"/>
      <x:c r="L144" s="330"/>
      <x:c r="M144" s="330"/>
      <x:c r="N144" s="330"/>
      <x:c r="O144" s="330"/>
      <x:c r="P144" s="330"/>
      <x:c r="Q144" s="330"/>
    </x:row>
    <x:row r="145">
      <x:c r="A145" s="330" t="n">
        <x:v>13</x:v>
      </x:c>
      <x:c r="B145" s="359" t="n">
        <x:f>IF('Допущения'!$C$4="Студенты",$M$26,$M$66)</x:f>
        <x:v>-5310500.000000004</x:v>
      </x:c>
      <x:c r="C145" s="359" t="n">
        <x:f>IF('Допущения'!$C$4="Студенты",$N$26,$N$66)</x:f>
        <x:v>-6388660.3195114415</x:v>
      </x:c>
      <x:c r="D145" s="330" t="n">
        <x:f>0</x:f>
        <x:v>0</x:v>
      </x:c>
      <x:c r="E145" s="330"/>
      <x:c r="F145" s="330"/>
      <x:c r="G145" s="330"/>
      <x:c r="H145" s="330"/>
      <x:c r="I145" s="330"/>
      <x:c r="J145" s="330"/>
      <x:c r="K145" s="330"/>
      <x:c r="L145" s="330"/>
      <x:c r="M145" s="330"/>
      <x:c r="N145" s="330"/>
      <x:c r="O145" s="330"/>
      <x:c r="P145" s="330"/>
      <x:c r="Q145" s="330"/>
    </x:row>
    <x:row r="146">
      <x:c r="A146" s="330" t="n">
        <x:v>14</x:v>
      </x:c>
      <x:c r="B146" s="359" t="n">
        <x:f>IF('Допущения'!$C$4="Студенты",$M$27,$M$67)</x:f>
        <x:v>-3075571.4285714324</x:v>
      </x:c>
      <x:c r="C146" s="359" t="n">
        <x:f>IF('Допущения'!$C$4="Студенты",$N$27,$N$67)</x:f>
        <x:v>-4499576.045613298</x:v>
      </x:c>
      <x:c r="D146" s="330" t="n">
        <x:f>0</x:f>
        <x:v>0</x:v>
      </x:c>
      <x:c r="E146" s="330"/>
      <x:c r="F146" s="330"/>
      <x:c r="G146" s="330"/>
      <x:c r="H146" s="330"/>
      <x:c r="I146" s="330"/>
      <x:c r="J146" s="330"/>
      <x:c r="K146" s="330"/>
      <x:c r="L146" s="330"/>
      <x:c r="M146" s="330"/>
      <x:c r="N146" s="330"/>
      <x:c r="O146" s="330"/>
      <x:c r="P146" s="330"/>
      <x:c r="Q146" s="330"/>
    </x:row>
    <x:row r="147">
      <x:c r="A147" s="330" t="n">
        <x:v>15</x:v>
      </x:c>
      <x:c r="B147" s="359" t="n">
        <x:f>IF('Допущения'!$C$4="Студенты",$M$28,$M$68)</x:f>
        <x:v>-840642.857142861</x:v>
      </x:c>
      <x:c r="C147" s="359" t="n">
        <x:f>IF('Допущения'!$C$4="Студенты",$N$28,$N$68)</x:f>
        <x:v>-2633040.919390124</x:v>
      </x:c>
      <x:c r="D147" s="330" t="n">
        <x:f>0</x:f>
        <x:v>0</x:v>
      </x:c>
      <x:c r="E147" s="330"/>
      <x:c r="F147" s="330"/>
      <x:c r="G147" s="330"/>
      <x:c r="H147" s="330"/>
      <x:c r="I147" s="330"/>
      <x:c r="J147" s="330"/>
      <x:c r="K147" s="330"/>
      <x:c r="L147" s="330"/>
      <x:c r="M147" s="330"/>
      <x:c r="N147" s="330"/>
      <x:c r="O147" s="330"/>
      <x:c r="P147" s="330"/>
      <x:c r="Q147" s="330"/>
    </x:row>
    <x:row r="148">
      <x:c r="A148" s="330" t="n">
        <x:v>16</x:v>
      </x:c>
      <x:c r="B148" s="359" t="n">
        <x:f>IF('Допущения'!$C$4="Студенты",$M$29,$M$69)</x:f>
        <x:v>1394285.7142857104</x:v>
      </x:c>
      <x:c r="C148" s="359" t="n">
        <x:f>IF('Допущения'!$C$4="Студенты",$N$29,$N$69)</x:f>
        <x:v>-788785.7818277373</x:v>
      </x:c>
      <x:c r="D148" s="330" t="n">
        <x:f>0</x:f>
        <x:v>0</x:v>
      </x:c>
      <x:c r="E148" s="330"/>
      <x:c r="F148" s="330"/>
      <x:c r="G148" s="330"/>
      <x:c r="H148" s="330"/>
      <x:c r="I148" s="330"/>
      <x:c r="J148" s="330"/>
      <x:c r="K148" s="330"/>
      <x:c r="L148" s="330"/>
      <x:c r="M148" s="330"/>
      <x:c r="N148" s="330"/>
      <x:c r="O148" s="330"/>
      <x:c r="P148" s="330"/>
      <x:c r="Q148" s="330"/>
    </x:row>
    <x:row r="149">
      <x:c r="A149" s="330" t="n">
        <x:v>17</x:v>
      </x:c>
      <x:c r="B149" s="359" t="n">
        <x:f>IF('Допущения'!$C$4="Студенты",$M$30,$M$70)</x:f>
        <x:v>3629214.2857142817</x:v>
      </x:c>
      <x:c r="C149" s="359" t="n">
        <x:f>IF('Допущения'!$C$4="Студенты",$N$30,$N$70)</x:f>
        <x:v>1033455.313258185</x:v>
      </x:c>
      <x:c r="D149" s="330" t="n">
        <x:f>0</x:f>
        <x:v>0</x:v>
      </x:c>
      <x:c r="E149" s="330"/>
      <x:c r="F149" s="330"/>
      <x:c r="G149" s="330"/>
      <x:c r="H149" s="330"/>
      <x:c r="I149" s="330"/>
      <x:c r="J149" s="330"/>
      <x:c r="K149" s="330"/>
      <x:c r="L149" s="330"/>
      <x:c r="M149" s="330"/>
      <x:c r="N149" s="330"/>
      <x:c r="O149" s="330"/>
      <x:c r="P149" s="330"/>
      <x:c r="Q149" s="330"/>
    </x:row>
    <x:row r="150">
      <x:c r="A150" s="330" t="n">
        <x:v>18</x:v>
      </x:c>
      <x:c r="B150" s="359" t="n">
        <x:f>IF('Допущения'!$C$4="Студенты",$M$31,$M$71)</x:f>
        <x:v>5864142.857142853</x:v>
      </x:c>
      <x:c r="C150" s="359" t="n">
        <x:f>IF('Допущения'!$C$4="Студенты",$N$31,$N$71)</x:f>
        <x:v>2833945.137572211</x:v>
      </x:c>
      <x:c r="D150" s="330" t="n">
        <x:f>0</x:f>
        <x:v>0</x:v>
      </x:c>
      <x:c r="E150" s="330"/>
      <x:c r="F150" s="330"/>
      <x:c r="G150" s="330"/>
      <x:c r="H150" s="330"/>
      <x:c r="I150" s="330"/>
      <x:c r="J150" s="330"/>
      <x:c r="K150" s="330"/>
      <x:c r="L150" s="330"/>
      <x:c r="M150" s="330"/>
      <x:c r="N150" s="330"/>
      <x:c r="O150" s="330"/>
      <x:c r="P150" s="330"/>
      <x:c r="Q150" s="330"/>
    </x:row>
    <x:row r="151">
      <x:c r="A151" s="330" t="n">
        <x:v>19</x:v>
      </x:c>
      <x:c r="B151" s="359" t="n">
        <x:f>IF('Допущения'!$C$4="Студенты",$M$32,$M$72)</x:f>
        <x:v>8099071.4285714235</x:v>
      </x:c>
      <x:c r="C151" s="359" t="n">
        <x:f>IF('Допущения'!$C$4="Студенты",$N$32,$N$72)</x:f>
        <x:v>4612943.326231488</x:v>
      </x:c>
      <x:c r="D151" s="330" t="n">
        <x:f>0</x:f>
        <x:v>0</x:v>
      </x:c>
      <x:c r="E151" s="330"/>
      <x:c r="F151" s="330"/>
      <x:c r="G151" s="330"/>
      <x:c r="H151" s="330"/>
      <x:c r="I151" s="330"/>
      <x:c r="J151" s="330"/>
      <x:c r="K151" s="330"/>
      <x:c r="L151" s="330"/>
      <x:c r="M151" s="330"/>
      <x:c r="N151" s="330"/>
      <x:c r="O151" s="330"/>
      <x:c r="P151" s="330"/>
      <x:c r="Q151" s="330"/>
    </x:row>
    <x:row r="152">
      <x:c r="A152" s="330" t="n">
        <x:v>20</x:v>
      </x:c>
      <x:c r="B152" s="359" t="n">
        <x:f>IF('Допущения'!$C$4="Студенты",$M$33,$M$73)</x:f>
        <x:v>10333999.999999994</x:v>
      </x:c>
      <x:c r="C152" s="359" t="n">
        <x:f>IF('Допущения'!$C$4="Студенты",$N$33,$N$73)</x:f>
        <x:v>6370706.415205771</x:v>
      </x:c>
      <x:c r="D152" s="330" t="n">
        <x:f>0</x:f>
        <x:v>0</x:v>
      </x:c>
      <x:c r="E152" s="330"/>
      <x:c r="F152" s="330"/>
      <x:c r="G152" s="330"/>
      <x:c r="H152" s="330"/>
      <x:c r="I152" s="330"/>
      <x:c r="J152" s="330"/>
      <x:c r="K152" s="330"/>
      <x:c r="L152" s="330"/>
      <x:c r="M152" s="330"/>
      <x:c r="N152" s="330"/>
      <x:c r="O152" s="330"/>
      <x:c r="P152" s="330"/>
      <x:c r="Q152" s="330"/>
    </x:row>
    <x:row r="153">
      <x:c r="A153" s="330" t="n">
        <x:v>21</x:v>
      </x:c>
      <x:c r="B153" s="359" t="n">
        <x:f>IF('Допущения'!$C$4="Студенты",$M$34,$M$74)</x:f>
        <x:v>12568928.571428565</x:v>
      </x:c>
      <x:c r="C153" s="359" t="n">
        <x:f>IF('Допущения'!$C$4="Студенты",$N$34,$N$74)</x:f>
        <x:v>8107487.878310553</x:v>
      </x:c>
      <x:c r="D153" s="330" t="n">
        <x:f>0</x:f>
        <x:v>0</x:v>
      </x:c>
      <x:c r="E153" s="330"/>
      <x:c r="F153" s="330"/>
      <x:c r="G153" s="330"/>
      <x:c r="H153" s="330"/>
      <x:c r="I153" s="330"/>
      <x:c r="J153" s="330"/>
      <x:c r="K153" s="330"/>
      <x:c r="L153" s="330"/>
      <x:c r="M153" s="330"/>
      <x:c r="N153" s="330"/>
      <x:c r="O153" s="330"/>
      <x:c r="P153" s="330"/>
      <x:c r="Q153" s="330"/>
    </x:row>
    <x:row r="154">
      <x:c r="A154" s="330" t="n">
        <x:v>22</x:v>
      </x:c>
      <x:c r="B154" s="359" t="n">
        <x:f>IF('Допущения'!$C$4="Студенты",$M$35,$M$75)</x:f>
        <x:v>14803857.142857136</x:v>
      </x:c>
      <x:c r="C154" s="359" t="n">
        <x:f>IF('Допущения'!$C$4="Студенты",$N$35,$N$75)</x:f>
        <x:v>9823538.163758615</x:v>
      </x:c>
      <x:c r="D154" s="330" t="n">
        <x:f>0</x:f>
        <x:v>0</x:v>
      </x:c>
      <x:c r="E154" s="330"/>
      <x:c r="F154" s="330"/>
      <x:c r="G154" s="330"/>
      <x:c r="H154" s="330"/>
      <x:c r="I154" s="330"/>
      <x:c r="J154" s="330"/>
      <x:c r="K154" s="330"/>
      <x:c r="L154" s="330"/>
      <x:c r="M154" s="330"/>
      <x:c r="N154" s="330"/>
      <x:c r="O154" s="330"/>
      <x:c r="P154" s="330"/>
      <x:c r="Q154" s="330"/>
    </x:row>
    <x:row r="155">
      <x:c r="A155" s="330" t="n">
        <x:v>23</x:v>
      </x:c>
      <x:c r="B155" s="359" t="n">
        <x:f>IF('Допущения'!$C$4="Студенты",$M$36,$M$76)</x:f>
        <x:v>17038785.71428571</x:v>
      </x:c>
      <x:c r="C155" s="359" t="n">
        <x:f>IF('Допущения'!$C$4="Студенты",$N$36,$N$76)</x:f>
        <x:v>11519104.730275284</x:v>
      </x:c>
      <x:c r="D155" s="330" t="n">
        <x:f>0</x:f>
        <x:v>0</x:v>
      </x:c>
      <x:c r="E155" s="330"/>
      <x:c r="F155" s="330"/>
      <x:c r="G155" s="330"/>
      <x:c r="H155" s="330"/>
      <x:c r="I155" s="330"/>
      <x:c r="J155" s="330"/>
      <x:c r="K155" s="330"/>
      <x:c r="L155" s="330"/>
      <x:c r="M155" s="330"/>
      <x:c r="N155" s="330"/>
      <x:c r="O155" s="330"/>
      <x:c r="P155" s="330"/>
      <x:c r="Q155" s="330"/>
    </x:row>
    <x:row r="156">
      <x:c r="A156" s="330" t="n">
        <x:v>24</x:v>
      </x:c>
      <x:c r="B156" s="359" t="n">
        <x:f>IF('Допущения'!$C$4="Студенты",$M$37,$M$77)</x:f>
        <x:v>19273714.28571428</x:v>
      </x:c>
      <x:c r="C156" s="359" t="n">
        <x:f>IF('Допущения'!$C$4="Студенты",$N$37,$N$77)</x:f>
        <x:v>13194432.082782604</x:v>
      </x:c>
      <x:c r="D156" s="330" t="n">
        <x:f>0</x:f>
        <x:v>0</x:v>
      </x:c>
      <x:c r="E156" s="330"/>
      <x:c r="F156" s="330"/>
      <x:c r="G156" s="330"/>
      <x:c r="H156" s="330"/>
      <x:c r="I156" s="330"/>
      <x:c r="J156" s="330"/>
      <x:c r="K156" s="330"/>
      <x:c r="L156" s="330"/>
      <x:c r="M156" s="330"/>
      <x:c r="N156" s="330"/>
      <x:c r="O156" s="330"/>
      <x:c r="P156" s="330"/>
      <x:c r="Q156" s="330"/>
    </x:row>
    <x:row r="157">
      <x:c r="A157" s="330" t="n">
        <x:v>25</x:v>
      </x:c>
      <x:c r="B157" s="359" t="n">
        <x:f>IF('Допущения'!$C$4="Студенты",$M$38,$M$78)</x:f>
        <x:v>21508642.85714285</x:v>
      </x:c>
      <x:c r="C157" s="359" t="n">
        <x:f>IF('Допущения'!$C$4="Студенты",$N$38,$N$78)</x:f>
        <x:v>14849761.807657542</x:v>
      </x:c>
      <x:c r="D157" s="330" t="n">
        <x:f>0</x:f>
        <x:v>0</x:v>
      </x:c>
      <x:c r="E157" s="330"/>
      <x:c r="F157" s="330"/>
      <x:c r="G157" s="330"/>
      <x:c r="H157" s="330"/>
      <x:c r="I157" s="330"/>
      <x:c r="J157" s="330"/>
      <x:c r="K157" s="330"/>
      <x:c r="L157" s="330"/>
      <x:c r="M157" s="330"/>
      <x:c r="N157" s="330"/>
      <x:c r="O157" s="330"/>
      <x:c r="P157" s="330"/>
      <x:c r="Q157" s="330"/>
    </x:row>
    <x:row r="158">
      <x:c r="A158" s="330" t="n">
        <x:v>26</x:v>
      </x:c>
      <x:c r="B158" s="359" t="n">
        <x:f>IF('Допущения'!$C$4="Студенты",$M$39,$M$79)</x:f>
        <x:v>23743571.42857142</x:v>
      </x:c>
      <x:c r="C158" s="359" t="n">
        <x:f>IF('Допущения'!$C$4="Студенты",$N$39,$N$79)</x:f>
        <x:v>16485332.607569356</x:v>
      </x:c>
      <x:c r="D158" s="330" t="n">
        <x:f>0</x:f>
        <x:v>0</x:v>
      </x:c>
      <x:c r="E158" s="330"/>
      <x:c r="F158" s="330"/>
      <x:c r="G158" s="330"/>
      <x:c r="H158" s="330"/>
      <x:c r="I158" s="330"/>
      <x:c r="J158" s="330"/>
      <x:c r="K158" s="330"/>
      <x:c r="L158" s="330"/>
      <x:c r="M158" s="330"/>
      <x:c r="N158" s="330"/>
      <x:c r="O158" s="330"/>
      <x:c r="P158" s="330"/>
      <x:c r="Q158" s="330"/>
    </x:row>
    <x:row r="159">
      <x:c r="A159" s="330" t="n">
        <x:v>27</x:v>
      </x:c>
      <x:c r="B159" s="359" t="n">
        <x:f>IF('Допущения'!$C$4="Студенты",$M$40,$M$80)</x:f>
        <x:v>25978499.999999993</x:v>
      </x:c>
      <x:c r="C159" s="359" t="n">
        <x:f>IF('Допущения'!$C$4="Студенты",$N$40,$N$80)</x:f>
        <x:v>18101380.33590111</x:v>
      </x:c>
      <x:c r="D159" s="330" t="n">
        <x:f>0</x:f>
        <x:v>0</x:v>
      </x:c>
      <x:c r="E159" s="330"/>
      <x:c r="F159" s="330"/>
      <x:c r="G159" s="330"/>
      <x:c r="H159" s="330"/>
      <x:c r="I159" s="330"/>
      <x:c r="J159" s="330"/>
      <x:c r="K159" s="330"/>
      <x:c r="L159" s="330"/>
      <x:c r="M159" s="330"/>
      <x:c r="N159" s="330"/>
      <x:c r="O159" s="330"/>
      <x:c r="P159" s="330"/>
      <x:c r="Q159" s="330"/>
    </x:row>
    <x:row r="160">
      <x:c r="A160" s="330" t="n">
        <x:v>28</x:v>
      </x:c>
      <x:c r="B160" s="359" t="n">
        <x:f>IF('Допущения'!$C$4="Студенты",$M$41,$M$81)</x:f>
        <x:v>28213428.571428563</x:v>
      </x:c>
      <x:c r="C160" s="359" t="n">
        <x:f>IF('Допущения'!$C$4="Студенты",$N$41,$N$81)</x:f>
        <x:v>19698138.03076032</x:v>
      </x:c>
      <x:c r="D160" s="330" t="n">
        <x:f>0</x:f>
        <x:v>0</x:v>
      </x:c>
      <x:c r="E160" s="330"/>
      <x:c r="F160" s="330"/>
      <x:c r="G160" s="330"/>
      <x:c r="H160" s="330"/>
      <x:c r="I160" s="330"/>
      <x:c r="J160" s="330"/>
      <x:c r="K160" s="330"/>
      <x:c r="L160" s="330"/>
      <x:c r="M160" s="330"/>
      <x:c r="N160" s="330"/>
      <x:c r="O160" s="330"/>
      <x:c r="P160" s="330"/>
      <x:c r="Q160" s="330"/>
    </x:row>
    <x:row r="161">
      <x:c r="A161" s="330" t="n">
        <x:v>29</x:v>
      </x:c>
      <x:c r="B161" s="359" t="n">
        <x:f>IF('Допущения'!$C$4="Студенты",$M$42,$M$82)</x:f>
        <x:v>30448357.142857134</x:v>
      </x:c>
      <x:c r="C161" s="359" t="n">
        <x:f>IF('Допущения'!$C$4="Студенты",$N$42,$N$82)</x:f>
        <x:v>21275835.948583633</x:v>
      </x:c>
      <x:c r="D161" s="330" t="n">
        <x:f>0</x:f>
        <x:v>0</x:v>
      </x:c>
      <x:c r="E161" s="330"/>
      <x:c r="F161" s="330"/>
      <x:c r="G161" s="330"/>
      <x:c r="H161" s="330"/>
      <x:c r="I161" s="330"/>
      <x:c r="J161" s="330"/>
      <x:c r="K161" s="330"/>
      <x:c r="L161" s="330"/>
      <x:c r="M161" s="330"/>
      <x:c r="N161" s="330"/>
      <x:c r="O161" s="330"/>
      <x:c r="P161" s="330"/>
      <x:c r="Q161" s="330"/>
    </x:row>
    <x:row r="162">
      <x:c r="A162" s="330" t="n">
        <x:v>30</x:v>
      </x:c>
      <x:c r="B162" s="359" t="n">
        <x:f>IF('Допущения'!$C$4="Студенты",$M$43,$M$83)</x:f>
        <x:v>32683285.714285705</x:v>
      </x:c>
      <x:c r="C162" s="359" t="n">
        <x:f>IF('Допущения'!$C$4="Студенты",$N$43,$N$83)</x:f>
        <x:v>22834701.597340368</x:v>
      </x:c>
      <x:c r="D162" s="330" t="n">
        <x:f>0</x:f>
        <x:v>0</x:v>
      </x:c>
      <x:c r="E162" s="330"/>
      <x:c r="F162" s="330"/>
      <x:c r="G162" s="330"/>
      <x:c r="H162" s="330"/>
      <x:c r="I162" s="330"/>
      <x:c r="J162" s="330"/>
      <x:c r="K162" s="330"/>
      <x:c r="L162" s="330"/>
      <x:c r="M162" s="330"/>
      <x:c r="N162" s="330"/>
      <x:c r="O162" s="330"/>
      <x:c r="P162" s="330"/>
      <x:c r="Q162" s="330"/>
    </x:row>
    <x:row r="163">
      <x:c r="A163" s="330" t="n">
        <x:v>31</x:v>
      </x:c>
      <x:c r="B163" s="359" t="n">
        <x:f>IF('Допущения'!$C$4="Студенты",$M$44,$M$84)</x:f>
        <x:v>34918214.285714276</x:v>
      </x:c>
      <x:c r="C163" s="359" t="n">
        <x:f>IF('Допущения'!$C$4="Студенты",$N$44,$N$84)</x:f>
        <x:v>24374959.769339744</x:v>
      </x:c>
      <x:c r="D163" s="330" t="n">
        <x:f>0</x:f>
        <x:v>0</x:v>
      </x:c>
      <x:c r="E163" s="330"/>
      <x:c r="F163" s="330"/>
      <x:c r="G163" s="330"/>
      <x:c r="H163" s="330"/>
      <x:c r="I163" s="330"/>
      <x:c r="J163" s="330"/>
      <x:c r="K163" s="330"/>
      <x:c r="L163" s="330"/>
      <x:c r="M163" s="330"/>
      <x:c r="N163" s="330"/>
      <x:c r="O163" s="330"/>
      <x:c r="P163" s="330"/>
      <x:c r="Q163" s="330"/>
    </x:row>
    <x:row r="164">
      <x:c r="A164" s="330" t="n">
        <x:v>32</x:v>
      </x:c>
      <x:c r="B164" s="359" t="n">
        <x:f>IF('Допущения'!$C$4="Студенты",$M$45,$M$85)</x:f>
        <x:v>37153142.85714285</x:v>
      </x:c>
      <x:c r="C164" s="359" t="n">
        <x:f>IF('Допущения'!$C$4="Студенты",$N$45,$N$85)</x:f>
        <x:v>25896832.573646486</x:v>
      </x:c>
      <x:c r="D164" s="330" t="n">
        <x:f>0</x:f>
        <x:v>0</x:v>
      </x:c>
      <x:c r="E164" s="330"/>
      <x:c r="F164" s="330"/>
      <x:c r="G164" s="330"/>
      <x:c r="H164" s="330"/>
      <x:c r="I164" s="330"/>
      <x:c r="J164" s="330"/>
      <x:c r="K164" s="330"/>
      <x:c r="L164" s="330"/>
      <x:c r="M164" s="330"/>
      <x:c r="N164" s="330"/>
      <x:c r="O164" s="330"/>
      <x:c r="P164" s="330"/>
      <x:c r="Q164" s="330"/>
    </x:row>
    <x:row r="165">
      <x:c r="A165" s="330" t="n">
        <x:v>33</x:v>
      </x:c>
      <x:c r="B165" s="359" t="n">
        <x:f>IF('Допущения'!$C$4="Студенты",$M$46,$M$86)</x:f>
        <x:v>39388071.428571425</x:v>
      </x:c>
      <x:c r="C165" s="359" t="n">
        <x:f>IF('Допущения'!$C$4="Студенты",$N$46,$N$86)</x:f>
        <x:v>27400539.468109503</x:v>
      </x:c>
      <x:c r="D165" s="330" t="n">
        <x:f>0</x:f>
        <x:v>0</x:v>
      </x:c>
      <x:c r="E165" s="330"/>
      <x:c r="F165" s="330"/>
      <x:c r="G165" s="330"/>
      <x:c r="H165" s="330"/>
      <x:c r="I165" s="330"/>
      <x:c r="J165" s="330"/>
      <x:c r="K165" s="330"/>
      <x:c r="L165" s="330"/>
      <x:c r="M165" s="330"/>
      <x:c r="N165" s="330"/>
      <x:c r="O165" s="330"/>
      <x:c r="P165" s="330"/>
      <x:c r="Q165" s="330"/>
    </x:row>
    <x:row r="166">
      <x:c r="A166" s="330" t="n">
        <x:v>34</x:v>
      </x:c>
      <x:c r="B166" s="359" t="n">
        <x:f>IF('Допущения'!$C$4="Студенты",$M$47,$M$87)</x:f>
        <x:v>41623000</x:v>
      </x:c>
      <x:c r="C166" s="359" t="n">
        <x:f>IF('Допущения'!$C$4="Студенты",$N$47,$N$87)</x:f>
        <x:v>28886297.29100826</x:v>
      </x:c>
      <x:c r="D166" s="330" t="n">
        <x:f>0</x:f>
        <x:v>0</x:v>
      </x:c>
      <x:c r="E166" s="330"/>
      <x:c r="F166" s="330"/>
      <x:c r="G166" s="330"/>
      <x:c r="H166" s="330"/>
      <x:c r="I166" s="330"/>
      <x:c r="J166" s="330"/>
      <x:c r="K166" s="330"/>
      <x:c r="L166" s="330"/>
      <x:c r="M166" s="330"/>
      <x:c r="N166" s="330"/>
      <x:c r="O166" s="330"/>
      <x:c r="P166" s="330"/>
      <x:c r="Q166" s="330"/>
    </x:row>
    <x:row r="167">
      <x:c r="A167" s="330" t="n">
        <x:v>35</x:v>
      </x:c>
      <x:c r="B167" s="359" t="n">
        <x:f>IF('Допущения'!$C$4="Студенты",$M$48,$M$88)</x:f>
        <x:v>43857928.571428575</x:v>
      </x:c>
      <x:c r="C167" s="359" t="n">
        <x:f>IF('Допущения'!$C$4="Студенты",$N$48,$N$88)</x:f>
        <x:v>30354320.292321395</x:v>
      </x:c>
      <x:c r="D167" s="330" t="n">
        <x:f>0</x:f>
        <x:v>0</x:v>
      </x:c>
      <x:c r="E167" s="330"/>
      <x:c r="F167" s="330"/>
      <x:c r="G167" s="330"/>
      <x:c r="H167" s="330"/>
      <x:c r="I167" s="330"/>
      <x:c r="J167" s="330"/>
      <x:c r="K167" s="330"/>
      <x:c r="L167" s="330"/>
      <x:c r="M167" s="330"/>
      <x:c r="N167" s="330"/>
      <x:c r="O167" s="330"/>
      <x:c r="P167" s="330"/>
      <x:c r="Q167" s="330"/>
    </x:row>
    <x:row r="168">
      <x:c r="A168" s="330" t="n">
        <x:v>36</x:v>
      </x:c>
      <x:c r="B168" s="359" t="n">
        <x:f>IF('Допущения'!$C$4="Студенты",$M$49,$M$89)</x:f>
        <x:v>46092857.14285715</x:v>
      </x:c>
      <x:c r="C168" s="359" t="n">
        <x:f>IF('Допущения'!$C$4="Студенты",$N$49,$N$89)</x:f>
        <x:v>31804820.164622106</x:v>
      </x:c>
      <x:c r="D168" s="330" t="n">
        <x:f>0</x:f>
        <x:v>0</x:v>
      </x:c>
      <x:c r="E168" s="330"/>
      <x:c r="F168" s="330"/>
      <x:c r="G168" s="330"/>
      <x:c r="H168" s="330"/>
      <x:c r="I168" s="330"/>
      <x:c r="J168" s="330"/>
      <x:c r="K168" s="330"/>
      <x:c r="L168" s="330"/>
      <x:c r="M168" s="330"/>
      <x:c r="N168" s="330"/>
      <x:c r="O168" s="330"/>
      <x:c r="P168" s="330"/>
      <x:c r="Q168" s="330"/>
    </x:row>
    <x:row r="169">
      <x:c r="A169" s="330"/>
      <x:c r="B169" s="330"/>
      <x:c r="C169" s="330"/>
      <x:c r="D169" s="330"/>
      <x:c r="E169" s="330"/>
      <x:c r="F169" s="330"/>
      <x:c r="G169" s="330"/>
      <x:c r="H169" s="330"/>
      <x:c r="I169" s="330"/>
      <x:c r="J169" s="330"/>
      <x:c r="K169" s="330"/>
      <x:c r="L169" s="330"/>
      <x:c r="M169" s="330"/>
      <x:c r="N169" s="330"/>
      <x:c r="O169" s="330"/>
      <x:c r="P169" s="330"/>
      <x:c r="Q169" s="330"/>
    </x:row>
    <x:row r="170">
      <x:c r="A170" s="330"/>
      <x:c r="B170" s="330"/>
      <x:c r="C170" s="330"/>
      <x:c r="D170" s="330"/>
      <x:c r="E170" s="330"/>
      <x:c r="F170" s="330"/>
      <x:c r="G170" s="330"/>
      <x:c r="H170" s="330"/>
      <x:c r="I170" s="330"/>
      <x:c r="J170" s="330"/>
      <x:c r="K170" s="330"/>
      <x:c r="L170" s="330"/>
      <x:c r="M170" s="330"/>
      <x:c r="N170" s="330"/>
      <x:c r="O170" s="330"/>
      <x:c r="P170" s="330"/>
      <x:c r="Q170" s="330"/>
    </x:row>
    <x:row r="171">
      <x:c r="A171" s="402" t="str">
        <x:v>Источник эффекта</x:v>
      </x:c>
      <x:c r="B171" s="402" t="str">
        <x:v>Студенты</x:v>
      </x:c>
      <x:c r="C171" s="402" t="str">
        <x:v>НПЗ / МС</x:v>
      </x:c>
      <x:c r="D171" s="330"/>
      <x:c r="E171" s="330"/>
      <x:c r="F171" s="330"/>
      <x:c r="G171" s="330"/>
      <x:c r="H171" s="330"/>
      <x:c r="I171" s="330"/>
      <x:c r="J171" s="330"/>
      <x:c r="K171" s="330"/>
      <x:c r="L171" s="330"/>
      <x:c r="M171" s="330"/>
      <x:c r="N171" s="330"/>
      <x:c r="O171" s="330"/>
      <x:c r="P171" s="330"/>
      <x:c r="Q171" s="330"/>
    </x:row>
    <x:row r="172">
      <x:c r="A172" s="330" t="str">
        <x:v>Сокращение ручного труда</x:v>
      </x:c>
      <x:c r="B172" s="359" t="n">
        <x:f>'Сравнение'!$D$9</x:f>
        <x:v>21024000</x:v>
      </x:c>
      <x:c r="C172" s="359" t="n">
        <x:f>'Сравнение'!$H$9</x:f>
        <x:v>8760000</x:v>
      </x:c>
      <x:c r="D172" s="330"/>
      <x:c r="E172" s="330"/>
      <x:c r="F172" s="330"/>
      <x:c r="G172" s="330"/>
      <x:c r="H172" s="330"/>
      <x:c r="I172" s="330"/>
      <x:c r="J172" s="330"/>
      <x:c r="K172" s="330"/>
      <x:c r="L172" s="330"/>
      <x:c r="M172" s="330"/>
      <x:c r="N172" s="330"/>
      <x:c r="O172" s="330"/>
      <x:c r="P172" s="330"/>
      <x:c r="Q172" s="330"/>
    </x:row>
    <x:row r="173">
      <x:c r="A173" s="330" t="str">
        <x:v>Сокращение простоев</x:v>
      </x:c>
      <x:c r="B173" s="359" t="n">
        <x:f>'Сравнение'!$D$13</x:f>
        <x:v>6857142.857142857</x:v>
      </x:c>
      <x:c r="C173" s="359" t="n">
        <x:f>'Сравнение'!$H$13</x:f>
        <x:v>6250000</x:v>
      </x:c>
      <x:c r="D173" s="330"/>
      <x:c r="E173" s="330"/>
      <x:c r="F173" s="330"/>
      <x:c r="G173" s="330"/>
      <x:c r="H173" s="330"/>
      <x:c r="I173" s="330"/>
      <x:c r="J173" s="330"/>
      <x:c r="K173" s="330"/>
      <x:c r="L173" s="330"/>
      <x:c r="M173" s="330"/>
      <x:c r="N173" s="330"/>
      <x:c r="O173" s="330"/>
      <x:c r="P173" s="330"/>
      <x:c r="Q173" s="330"/>
    </x:row>
    <x:row r="174">
      <x:c r="A174" s="330" t="str">
        <x:v>Ускорение подключений</x:v>
      </x:c>
      <x:c r="B174" s="359" t="n">
        <x:f>'Сравнение'!$D$17</x:f>
        <x:v>448000</x:v>
      </x:c>
      <x:c r="C174" s="359" t="n">
        <x:f>'Сравнение'!$H$17</x:f>
        <x:v>224000</x:v>
      </x:c>
      <x:c r="D174" s="330"/>
      <x:c r="E174" s="330"/>
      <x:c r="F174" s="330"/>
      <x:c r="G174" s="330"/>
      <x:c r="H174" s="330"/>
      <x:c r="I174" s="330"/>
      <x:c r="J174" s="330"/>
      <x:c r="K174" s="330"/>
      <x:c r="L174" s="330"/>
      <x:c r="M174" s="330"/>
      <x:c r="N174" s="330"/>
      <x:c r="O174" s="330"/>
      <x:c r="P174" s="330"/>
      <x:c r="Q174" s="330"/>
    </x:row>
    <x:row r="175">
      <x:c r="A175" s="330"/>
      <x:c r="B175" s="330"/>
      <x:c r="C175" s="330"/>
      <x:c r="D175" s="330"/>
      <x:c r="E175" s="330"/>
      <x:c r="F175" s="330"/>
      <x:c r="G175" s="330"/>
      <x:c r="H175" s="330"/>
      <x:c r="I175" s="330"/>
      <x:c r="J175" s="330"/>
      <x:c r="K175" s="330"/>
      <x:c r="L175" s="330"/>
      <x:c r="M175" s="330"/>
      <x:c r="N175" s="330"/>
      <x:c r="O175" s="330"/>
      <x:c r="P175" s="330"/>
      <x:c r="Q175" s="330"/>
    </x:row>
    <x:row r="176">
      <x:c r="A176" s="330"/>
      <x:c r="B176" s="330"/>
      <x:c r="C176" s="330"/>
      <x:c r="D176" s="330"/>
      <x:c r="E176" s="330"/>
      <x:c r="F176" s="330"/>
      <x:c r="G176" s="330"/>
      <x:c r="H176" s="330"/>
      <x:c r="I176" s="330"/>
      <x:c r="J176" s="330"/>
      <x:c r="K176" s="330"/>
      <x:c r="L176" s="330"/>
      <x:c r="M176" s="330"/>
      <x:c r="N176" s="330"/>
      <x:c r="O176" s="330"/>
      <x:c r="P176" s="330"/>
      <x:c r="Q176" s="330"/>
    </x:row>
    <x:row r="177">
      <x:c r="A177" s="402" t="str">
        <x:v>Сценарий</x:v>
      </x:c>
      <x:c r="B177" s="402" t="str">
        <x:v>Без дисконтирования</x:v>
      </x:c>
      <x:c r="C177" s="402" t="str">
        <x:v>NPV</x:v>
      </x:c>
      <x:c r="D177" s="330"/>
      <x:c r="E177" s="330"/>
      <x:c r="F177" s="330"/>
      <x:c r="G177" s="330"/>
      <x:c r="H177" s="330"/>
      <x:c r="I177" s="330"/>
      <x:c r="J177" s="330"/>
      <x:c r="K177" s="330"/>
      <x:c r="L177" s="330"/>
      <x:c r="M177" s="330"/>
      <x:c r="N177" s="330"/>
      <x:c r="O177" s="330"/>
      <x:c r="P177" s="330"/>
      <x:c r="Q177" s="330"/>
    </x:row>
    <x:row r="178">
      <x:c r="A178" s="330" t="str">
        <x:v>Студенты</x:v>
      </x:c>
      <x:c r="B178" s="359" t="n">
        <x:f>$B$97</x:f>
        <x:v>46092857.14285715</x:v>
      </x:c>
      <x:c r="C178" s="359" t="n">
        <x:f>$B$98</x:f>
        <x:v>31804820.164622106</x:v>
      </x:c>
      <x:c r="D178" s="330"/>
      <x:c r="E178" s="330"/>
      <x:c r="F178" s="330"/>
      <x:c r="G178" s="330"/>
      <x:c r="H178" s="330"/>
      <x:c r="I178" s="330"/>
      <x:c r="J178" s="330"/>
      <x:c r="K178" s="330"/>
      <x:c r="L178" s="330"/>
      <x:c r="M178" s="330"/>
      <x:c r="N178" s="330"/>
      <x:c r="O178" s="330"/>
      <x:c r="P178" s="330"/>
      <x:c r="Q178" s="330"/>
    </x:row>
    <x:row r="179">
      <x:c r="A179" s="330" t="str">
        <x:v>НПЗ / МС</x:v>
      </x:c>
      <x:c r="B179" s="359" t="n">
        <x:f>$C$97</x:f>
        <x:v>13355000</x:v>
      </x:c>
      <x:c r="C179" s="359" t="n">
        <x:f>$C$98</x:f>
        <x:v>6379436.80398933</x:v>
      </x:c>
      <x:c r="D179" s="330"/>
      <x:c r="E179" s="330"/>
      <x:c r="F179" s="330"/>
      <x:c r="G179" s="330"/>
      <x:c r="H179" s="330"/>
      <x:c r="I179" s="330"/>
      <x:c r="J179" s="330"/>
      <x:c r="K179" s="330"/>
      <x:c r="L179" s="330"/>
      <x:c r="M179" s="330"/>
      <x:c r="N179" s="330"/>
      <x:c r="O179" s="330"/>
      <x:c r="P179" s="330"/>
      <x:c r="Q179" s="330"/>
    </x:row>
    <x:row r="180">
      <x:c r="A180" s="330"/>
      <x:c r="B180" s="330"/>
      <x:c r="C180" s="330"/>
      <x:c r="D180" s="330"/>
      <x:c r="E180" s="330"/>
      <x:c r="F180" s="330"/>
      <x:c r="G180" s="330"/>
      <x:c r="H180" s="330"/>
      <x:c r="I180" s="330"/>
      <x:c r="J180" s="330"/>
      <x:c r="K180" s="330"/>
      <x:c r="L180" s="330"/>
      <x:c r="M180" s="330"/>
      <x:c r="N180" s="330"/>
      <x:c r="O180" s="330"/>
      <x:c r="P180" s="330"/>
      <x:c r="Q180" s="330"/>
    </x:row>
  </x:sheetData>
  <x:mergeCells>
    <x:mergeCell ref="A1:Q2"/>
    <x:mergeCell ref="A3:Q3"/>
    <x:mergeCell ref="A10:Q10"/>
    <x:mergeCell ref="A51:Q51"/>
    <x:mergeCell ref="A91:D91"/>
    <x:mergeCell ref="A110:F110"/>
  </x:mergeCells>
  <x:conditionalFormatting sqref="B113:F11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8.220000267028809" hidden="0" customWidth="1"/>
    <x:col min="3" max="3" width="8.220000267028809" hidden="0" customWidth="1"/>
    <x:col min="4" max="4" width="8.220000267028809" hidden="0" customWidth="1"/>
    <x:col min="5" max="5" width="8.220000267028809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14.220000267028809" hidden="0" customWidth="1"/>
    <x:col min="10" max="10" width="10.670000076293945" hidden="0" customWidth="1"/>
    <x:col min="11" max="11" width="10.670000076293945" hidden="0" customWidth="1"/>
    <x:col min="12" max="12" width="8.220000267028809" hidden="0" customWidth="1"/>
    <x:col min="13" max="13" width="8.220000267028809" hidden="0" customWidth="1"/>
    <x:col min="14" max="14" width="8.220000267028809" hidden="0" customWidth="1"/>
    <x:col min="15" max="15" width="8.220000267028809" hidden="0" customWidth="1"/>
    <x:col min="16" max="16" width="8.220000267028809" hidden="0" customWidth="1"/>
  </x:cols>
  <x:sheetData>
    <x:row r="1" ht="24" customHeight="1">
      <x:c r="A1" s="333" t="str">
        <x:v>Инвестиционная эффективность платформы «Диспетчер»</x:v>
      </x:c>
      <x:c r="B1" s="333"/>
      <x:c r="C1" s="333"/>
      <x:c r="D1" s="333"/>
      <x:c r="E1" s="333"/>
      <x:c r="F1" s="333"/>
      <x:c r="G1" s="333"/>
      <x:c r="H1" s="333"/>
      <x:c r="I1" s="333"/>
      <x:c r="J1" s="333"/>
      <x:c r="K1" s="333"/>
      <x:c r="L1" s="333"/>
      <x:c r="M1" s="333"/>
      <x:c r="N1" s="333"/>
      <x:c r="O1" s="333"/>
      <x:c r="P1" s="333"/>
    </x:row>
    <x:row r="2" ht="24" customHeight="1">
      <x:c r="A2" s="333"/>
      <x:c r="B2" s="333"/>
      <x:c r="C2" s="333"/>
      <x:c r="D2" s="333"/>
      <x:c r="E2" s="333"/>
      <x:c r="F2" s="333"/>
      <x:c r="G2" s="333"/>
      <x:c r="H2" s="333"/>
      <x:c r="I2" s="333"/>
      <x:c r="J2" s="333"/>
      <x:c r="K2" s="333"/>
      <x:c r="L2" s="333"/>
      <x:c r="M2" s="333"/>
      <x:c r="N2" s="333"/>
      <x:c r="O2" s="333"/>
      <x:c r="P2" s="333"/>
    </x:row>
    <x:row r="3">
      <x:c r="A3" s="406" t="str">
        <x:v>Активный сценарий</x:v>
      </x:c>
      <x:c r="B3" s="406"/>
      <x:c r="C3" s="406"/>
      <x:c r="D3" s="406"/>
      <x:c r="E3" s="408" t="str">
        <x:f>'Допущения'!$C$4</x:f>
        <x:v>Студенты</x:v>
      </x:c>
      <x:c r="F3" s="408"/>
      <x:c r="G3" s="408"/>
      <x:c r="H3" s="408"/>
      <x:c r="I3" s="406" t="str">
        <x:v>Ставка дисконтирования</x:v>
      </x:c>
      <x:c r="J3" s="406"/>
      <x:c r="K3" s="406"/>
      <x:c r="L3" s="406"/>
      <x:c r="M3" s="411" t="n">
        <x:f>'Допущения'!$C$24</x:f>
        <x:v>0.155</x:v>
      </x:c>
      <x:c r="N3" s="411"/>
      <x:c r="O3" s="411"/>
      <x:c r="P3" s="411"/>
    </x:row>
    <x:row r="4" ht="19.5" customHeight="1">
      <x:c r="A4" s="412" t="str">
        <x:v>Ставка модели = ключевая ставка Банка России 14,0% + 1,5 п.п. CDD — накопленный дисконтированный денежный поток; итоговый CDD равен NPV.</x:v>
      </x:c>
      <x:c r="B4" s="412"/>
      <x:c r="C4" s="412"/>
      <x:c r="D4" s="412"/>
      <x:c r="E4" s="412"/>
      <x:c r="F4" s="412"/>
      <x:c r="G4" s="412"/>
      <x:c r="H4" s="412"/>
      <x:c r="I4" s="412"/>
      <x:c r="J4" s="412"/>
      <x:c r="K4" s="412"/>
      <x:c r="L4" s="412"/>
      <x:c r="M4" s="412"/>
      <x:c r="N4" s="412"/>
      <x:c r="O4" s="412"/>
      <x:c r="P4" s="412"/>
    </x:row>
    <x:row r="5">
      <x:c r="A5" s="405"/>
      <x:c r="B5" s="405"/>
      <x:c r="C5" s="405"/>
      <x:c r="D5" s="405"/>
      <x:c r="E5" s="405"/>
      <x:c r="F5" s="405"/>
      <x:c r="G5" s="405"/>
      <x:c r="H5" s="405"/>
      <x:c r="I5" s="405"/>
      <x:c r="J5" s="405"/>
      <x:c r="K5" s="405"/>
      <x:c r="L5" s="405"/>
      <x:c r="M5" s="405"/>
      <x:c r="N5" s="405"/>
      <x:c r="O5" s="405"/>
      <x:c r="P5" s="405"/>
    </x:row>
    <x:row r="6">
      <x:c r="A6" s="424" t="str">
        <x:v>NPV</x:v>
      </x:c>
      <x:c r="B6" s="425"/>
      <x:c r="C6" s="425"/>
      <x:c r="D6" s="426"/>
      <x:c r="E6" s="443" t="str">
        <x:v>PI</x:v>
      </x:c>
      <x:c r="F6" s="444"/>
      <x:c r="G6" s="444"/>
      <x:c r="H6" s="445"/>
      <x:c r="I6" s="464" t="str">
        <x:v>Дисконтированная окупаемость</x:v>
      </x:c>
      <x:c r="J6" s="465"/>
      <x:c r="K6" s="465"/>
      <x:c r="L6" s="466"/>
      <x:c r="M6" s="485" t="str">
        <x:v>IRR</x:v>
      </x:c>
      <x:c r="N6" s="486"/>
      <x:c r="O6" s="486"/>
      <x:c r="P6" s="487"/>
    </x:row>
    <x:row r="7">
      <x:c r="A7" s="427" t="n">
        <x:f>IF('Допущения'!$C$4="Студенты",'Инвест. расчет'!$B$98,'Инвест. расчет'!$C$98)</x:f>
        <x:v>31804820.164622106</x:v>
      </x:c>
      <x:c r="B7" s="428"/>
      <x:c r="C7" s="428"/>
      <x:c r="D7" s="429"/>
      <x:c r="E7" s="446" t="n">
        <x:f>IF('Допущения'!$C$4="Студенты",'Инвест. расчет'!$B$100,'Инвест. расчет'!$C$100)</x:f>
        <x:v>2.3709726035511642</x:v>
      </x:c>
      <x:c r="F7" s="447"/>
      <x:c r="G7" s="447"/>
      <x:c r="H7" s="448"/>
      <x:c r="I7" s="467" t="n">
        <x:f>IF('Допущения'!$C$4="Студенты",'Инвест. расчет'!$B$104,'Инвест. расчет'!$C$104)</x:f>
        <x:v>16.43286576290858</x:v>
      </x:c>
      <x:c r="J7" s="468"/>
      <x:c r="K7" s="468"/>
      <x:c r="L7" s="469"/>
      <x:c r="M7" s="488" t="n">
        <x:f>IF('Допущения'!$C$4="Студенты",'Инвест. расчет'!$B$105,'Инвест. расчет'!$C$105)</x:f>
        <x:v>1.3587758409116004</x:v>
      </x:c>
      <x:c r="N7" s="489"/>
      <x:c r="O7" s="489"/>
      <x:c r="P7" s="490"/>
    </x:row>
    <x:row r="8">
      <x:c r="A8" s="427"/>
      <x:c r="B8" s="428"/>
      <x:c r="C8" s="428"/>
      <x:c r="D8" s="429"/>
      <x:c r="E8" s="446"/>
      <x:c r="F8" s="447"/>
      <x:c r="G8" s="447"/>
      <x:c r="H8" s="448"/>
      <x:c r="I8" s="467"/>
      <x:c r="J8" s="468"/>
      <x:c r="K8" s="468"/>
      <x:c r="L8" s="469"/>
      <x:c r="M8" s="488"/>
      <x:c r="N8" s="489"/>
      <x:c r="O8" s="489"/>
      <x:c r="P8" s="490"/>
    </x:row>
    <x:row r="9">
      <x:c r="A9" s="427"/>
      <x:c r="B9" s="428"/>
      <x:c r="C9" s="428"/>
      <x:c r="D9" s="429"/>
      <x:c r="E9" s="446"/>
      <x:c r="F9" s="447"/>
      <x:c r="G9" s="447"/>
      <x:c r="H9" s="448"/>
      <x:c r="I9" s="467"/>
      <x:c r="J9" s="468"/>
      <x:c r="K9" s="468"/>
      <x:c r="L9" s="469"/>
      <x:c r="M9" s="488"/>
      <x:c r="N9" s="489"/>
      <x:c r="O9" s="489"/>
      <x:c r="P9" s="490"/>
    </x:row>
    <x:row r="10" ht="19.5" customHeight="1">
      <x:c r="A10" s="430" t="str">
        <x:v>Дисконтированная стоимость проекта за 36 месяцев</x:v>
      </x:c>
      <x:c r="B10" s="431"/>
      <x:c r="C10" s="431"/>
      <x:c r="D10" s="432"/>
      <x:c r="E10" s="449" t="str">
        <x:v>PI &gt; 1 означает создание стоимости</x:v>
      </x:c>
      <x:c r="F10" s="450"/>
      <x:c r="G10" s="450"/>
      <x:c r="H10" s="451"/>
      <x:c r="I10" s="470" t="str">
        <x:v>Точка пересечения CDD с нулем</x:v>
      </x:c>
      <x:c r="J10" s="471"/>
      <x:c r="K10" s="471"/>
      <x:c r="L10" s="472"/>
      <x:c r="M10" s="491" t="str">
        <x:v>Эффективная годовая доходность денежных потоков</x:v>
      </x:c>
      <x:c r="N10" s="492"/>
      <x:c r="O10" s="492"/>
      <x:c r="P10" s="493"/>
    </x:row>
    <x:row r="11">
      <x:c r="A11" s="405"/>
      <x:c r="B11" s="405"/>
      <x:c r="C11" s="405"/>
      <x:c r="D11" s="405"/>
      <x:c r="E11" s="405"/>
      <x:c r="F11" s="405"/>
      <x:c r="G11" s="405"/>
      <x:c r="H11" s="405"/>
      <x:c r="I11" s="405"/>
      <x:c r="J11" s="405"/>
      <x:c r="K11" s="405"/>
      <x:c r="L11" s="405"/>
      <x:c r="M11" s="405"/>
      <x:c r="N11" s="405"/>
      <x:c r="O11" s="405"/>
      <x:c r="P11" s="405"/>
    </x:row>
    <x:row r="12">
      <x:c r="A12" s="503" t="str">
        <x:v>Чистый эффект без дисконтирования</x:v>
      </x:c>
      <x:c r="B12" s="504"/>
      <x:c r="C12" s="504"/>
      <x:c r="D12" s="505"/>
      <x:c r="E12" s="521" t="str">
        <x:v>ROI без дисконтирования</x:v>
      </x:c>
      <x:c r="F12" s="522"/>
      <x:c r="G12" s="522"/>
      <x:c r="H12" s="523"/>
      <x:c r="I12" s="539" t="str">
        <x:v>Простая окупаемость</x:v>
      </x:c>
      <x:c r="J12" s="540"/>
      <x:c r="K12" s="540"/>
      <x:c r="L12" s="541"/>
      <x:c r="M12" s="557" t="str">
        <x:v>CDD на горизонте</x:v>
      </x:c>
      <x:c r="N12" s="558"/>
      <x:c r="O12" s="558"/>
      <x:c r="P12" s="559"/>
    </x:row>
    <x:row r="13">
      <x:c r="A13" s="506" t="n">
        <x:f>IF('Допущения'!$C$4="Студенты",'Инвест. расчет'!$B$97,'Инвест. расчет'!$C$97)</x:f>
        <x:v>46092857.14285715</x:v>
      </x:c>
      <x:c r="B13" s="507"/>
      <x:c r="C13" s="507"/>
      <x:c r="D13" s="508"/>
      <x:c r="E13" s="524" t="n">
        <x:f>IF('Допущения'!$C$4="Студенты",'Инвест. расчет'!$B$101,'Инвест. расчет'!$C$101)</x:f>
        <x:v>1.8638437987406884</x:v>
      </x:c>
      <x:c r="F13" s="525"/>
      <x:c r="G13" s="525"/>
      <x:c r="H13" s="526"/>
      <x:c r="I13" s="542" t="n">
        <x:f>IF('Допущения'!$C$4="Студенты",'Инвест. расчет'!$B$103,'Инвест. расчет'!$C$103)</x:f>
        <x:v>15.376138579053343</x:v>
      </x:c>
      <x:c r="J13" s="543"/>
      <x:c r="K13" s="543"/>
      <x:c r="L13" s="544"/>
      <x:c r="M13" s="560" t="n">
        <x:f>IF('Допущения'!$C$4="Студенты",'Инвест. расчет'!$B$106,'Инвест. расчет'!$C$106)</x:f>
        <x:v>31804820.164622106</x:v>
      </x:c>
      <x:c r="N13" s="561"/>
      <x:c r="O13" s="561"/>
      <x:c r="P13" s="562"/>
    </x:row>
    <x:row r="14">
      <x:c r="A14" s="506"/>
      <x:c r="B14" s="507"/>
      <x:c r="C14" s="507"/>
      <x:c r="D14" s="508"/>
      <x:c r="E14" s="524"/>
      <x:c r="F14" s="525"/>
      <x:c r="G14" s="525"/>
      <x:c r="H14" s="526"/>
      <x:c r="I14" s="542"/>
      <x:c r="J14" s="543"/>
      <x:c r="K14" s="543"/>
      <x:c r="L14" s="544"/>
      <x:c r="M14" s="560"/>
      <x:c r="N14" s="561"/>
      <x:c r="O14" s="561"/>
      <x:c r="P14" s="562"/>
    </x:row>
    <x:row r="15">
      <x:c r="A15" s="506"/>
      <x:c r="B15" s="507"/>
      <x:c r="C15" s="507"/>
      <x:c r="D15" s="508"/>
      <x:c r="E15" s="524"/>
      <x:c r="F15" s="525"/>
      <x:c r="G15" s="525"/>
      <x:c r="H15" s="526"/>
      <x:c r="I15" s="542"/>
      <x:c r="J15" s="543"/>
      <x:c r="K15" s="543"/>
      <x:c r="L15" s="544"/>
      <x:c r="M15" s="560"/>
      <x:c r="N15" s="561"/>
      <x:c r="O15" s="561"/>
      <x:c r="P15" s="562"/>
    </x:row>
    <x:row r="16" ht="19.5" customHeight="1">
      <x:c r="A16" s="509" t="str">
        <x:v>Номинальная сумма чистых потоков</x:v>
      </x:c>
      <x:c r="B16" s="510"/>
      <x:c r="C16" s="510"/>
      <x:c r="D16" s="511"/>
      <x:c r="E16" s="527" t="str">
        <x:v>Доходность на совокупные номинальные затраты</x:v>
      </x:c>
      <x:c r="F16" s="528"/>
      <x:c r="G16" s="528"/>
      <x:c r="H16" s="529"/>
      <x:c r="I16" s="545" t="str">
        <x:v>Без учета стоимости денег во времени</x:v>
      </x:c>
      <x:c r="J16" s="546"/>
      <x:c r="K16" s="546"/>
      <x:c r="L16" s="547"/>
      <x:c r="M16" s="563" t="str">
        <x:v>Контроль: итоговый CDD совпадает с NPV</x:v>
      </x:c>
      <x:c r="N16" s="564"/>
      <x:c r="O16" s="564"/>
      <x:c r="P16" s="56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</x:row>
    <x:row r="18">
      <x:c r="A18" s="332" t="str">
        <x:v>Кривая окупаемости активного сценария</x:v>
      </x:c>
      <x:c r="B18" s="332"/>
      <x:c r="C18" s="332"/>
      <x:c r="D18" s="332"/>
      <x:c r="E18" s="332"/>
      <x:c r="F18" s="332"/>
      <x:c r="G18" s="332"/>
      <x:c r="H18" s="332"/>
      <x:c r="I18" s="332" t="str">
        <x:v>Стоимость проекта по сценариям</x:v>
      </x:c>
      <x:c r="J18" s="332"/>
      <x:c r="K18" s="332"/>
      <x:c r="L18" s="332"/>
      <x:c r="M18" s="332"/>
      <x:c r="N18" s="332"/>
      <x:c r="O18" s="332"/>
      <x:c r="P18" s="332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</x:row>
    <x:row r="36">
      <x:c r="A36" s="332" t="str">
        <x:v>Источники годового экономического эффекта</x:v>
      </x:c>
      <x:c r="B36" s="332"/>
      <x:c r="C36" s="332"/>
      <x:c r="D36" s="332"/>
      <x:c r="E36" s="332"/>
      <x:c r="F36" s="332"/>
      <x:c r="G36" s="332"/>
      <x:c r="H36" s="332"/>
      <x:c r="I36" s="332" t="str">
        <x:v>Устойчивость NPV к ставке дисконтирования</x:v>
      </x:c>
      <x:c r="J36" s="332"/>
      <x:c r="K36" s="332"/>
      <x:c r="L36" s="332"/>
      <x:c r="M36" s="332"/>
      <x:c r="N36" s="332"/>
      <x:c r="O36" s="332"/>
      <x:c r="P36" s="332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</x:row>
    <x:row r="55" ht="19.5" customHeight="1">
      <x:c r="A55" s="332" t="str">
        <x:v>Чувствительность NPV активного сценария, млн ₽</x:v>
      </x:c>
      <x:c r="B55" s="332"/>
      <x:c r="C55" s="332"/>
      <x:c r="D55" s="332"/>
      <x:c r="E55" s="332"/>
      <x:c r="F55" s="332"/>
      <x:c r="G55" s="332"/>
      <x:c r="H55" s="405"/>
      <x:c r="I55" s="332" t="str">
        <x:v>Сравнение инвестиционных показателей</x:v>
      </x:c>
      <x:c r="J55" s="332"/>
      <x:c r="K55" s="332"/>
      <x:c r="L55" s="332"/>
      <x:c r="M55" s="332"/>
      <x:c r="N55" s="332"/>
      <x:c r="O55" s="332"/>
      <x:c r="P55" s="332"/>
    </x:row>
    <x:row r="56">
      <x:c r="A56" s="570" t="str">
        <x:f>'Инвест. расчет'!$A$112</x:f>
        <x:v>Множитель эффекта</x:v>
      </x:c>
      <x:c r="B56" s="570" t="n">
        <x:f>'Инвест. расчет'!$B$112</x:f>
        <x:v>0.14</x:v>
      </x:c>
      <x:c r="C56" s="570" t="n">
        <x:f>'Инвест. расчет'!$C$112</x:f>
        <x:v>0.155</x:v>
      </x:c>
      <x:c r="D56" s="570" t="n">
        <x:f>'Инвест. расчет'!$D$112</x:f>
        <x:v>0.17</x:v>
      </x:c>
      <x:c r="E56" s="570" t="n">
        <x:f>'Инвест. расчет'!$E$112</x:f>
        <x:v>0.185</x:v>
      </x:c>
      <x:c r="F56" s="570" t="n">
        <x:f>'Инвест. расчет'!$F$112</x:f>
        <x:v>0.2</x:v>
      </x:c>
      <x:c r="G56" s="405"/>
      <x:c r="H56" s="405"/>
      <x:c r="I56" s="402" t="str">
        <x:v>Показатель</x:v>
      </x:c>
      <x:c r="J56" s="402" t="str">
        <x:v>Студенты</x:v>
      </x:c>
      <x:c r="K56" s="402" t="str">
        <x:v>НПЗ / МС</x:v>
      </x:c>
      <x:c r="L56" s="405"/>
      <x:c r="M56" s="583" t="str">
        <x:v>Интерпретация
• NPV &gt; 0 — проект создает стоимость.
• PI &gt; 1 — приведенные выгоды выше затрат.
• DPP показывает окупаемость с учетом стоимости денег.
• Итоговый CDD обязан совпадать с NPV.
• Значения учебные и зависят от числа инцидентов, эффекта труда и бюджета.</x:v>
      </x:c>
      <x:c r="N56" s="584"/>
      <x:c r="O56" s="584"/>
      <x:c r="P56" s="585"/>
    </x:row>
    <x:row r="57">
      <x:c r="A57" s="571" t="n">
        <x:f>'Инвест. расчет'!$A$113</x:f>
        <x:v>0.7</x:v>
      </x:c>
      <x:c r="B57" s="572" t="n">
        <x:f>'Инвест. расчет'!$B$113</x:f>
        <x:v>16051740.940831278</x:v>
      </x:c>
      <x:c r="C57" s="572" t="n">
        <x:f>'Инвест. расчет'!$C$113</x:f>
        <x:v>15303755.794145787</x:v>
      </x:c>
      <x:c r="D57" s="572" t="n">
        <x:f>'Инвест. расчет'!$D$113</x:f>
        <x:v>14585799.10508907</x:v>
      </x:c>
      <x:c r="E57" s="572" t="n">
        <x:f>'Инвест. расчет'!$E$113</x:f>
        <x:v>13896275.520642793</x:v>
      </x:c>
      <x:c r="F57" s="572" t="n">
        <x:f>'Инвест. расчет'!$F$113</x:f>
        <x:v>13233694.456996387</x:v>
      </x:c>
      <x:c r="G57" s="405"/>
      <x:c r="H57" s="405"/>
      <x:c r="I57" s="573" t="str">
        <x:v>NPV</x:v>
      </x:c>
      <x:c r="J57" s="575" t="n">
        <x:f>'Инвест. расчет'!$B$98</x:f>
        <x:v>31804820.164622106</x:v>
      </x:c>
      <x:c r="K57" s="575" t="n">
        <x:f>'Инвест. расчет'!$C$98</x:f>
        <x:v>6379436.80398933</x:v>
      </x:c>
      <x:c r="L57" s="405"/>
      <x:c r="M57" s="586"/>
      <x:c r="N57" s="587"/>
      <x:c r="O57" s="587"/>
      <x:c r="P57" s="588"/>
    </x:row>
    <x:row r="58">
      <x:c r="A58" s="571" t="n">
        <x:f>'Инвест. расчет'!$A$114</x:f>
        <x:v>0.85</x:v>
      </x:c>
      <x:c r="B58" s="572" t="n">
        <x:f>'Инвест. расчет'!$B$114</x:f>
        <x:v>24489905.492231067</x:v>
      </x:c>
      <x:c r="C58" s="572" t="n">
        <x:f>'Инвест. расчет'!$C$114</x:f>
        <x:v>23554287.979383897</x:v>
      </x:c>
      <x:c r="D58" s="572" t="n">
        <x:f>'Инвест. расчет'!$D$114</x:f>
        <x:v>22655911.29594814</x:v>
      </x:c>
      <x:c r="E58" s="572" t="n">
        <x:f>'Инвест. расчет'!$E$114</x:f>
        <x:v>21792802.59964551</x:v>
      </x:c>
      <x:c r="F58" s="572" t="n">
        <x:f>'Инвест. расчет'!$F$114</x:f>
        <x:v>20963118.434074394</x:v>
      </x:c>
      <x:c r="G58" s="405"/>
      <x:c r="H58" s="405"/>
      <x:c r="I58" s="574" t="str">
        <x:v>PI</x:v>
      </x:c>
      <x:c r="J58" s="576" t="n">
        <x:f>'Инвест. расчет'!$B$100</x:f>
        <x:v>2.3709726035511642</x:v>
      </x:c>
      <x:c r="K58" s="576" t="n">
        <x:f>'Инвест. расчет'!$C$100</x:f>
        <x:v>1.2749908045096876</x:v>
      </x:c>
      <x:c r="L58" s="405"/>
      <x:c r="M58" s="586"/>
      <x:c r="N58" s="587"/>
      <x:c r="O58" s="587"/>
      <x:c r="P58" s="588"/>
    </x:row>
    <x:row r="59">
      <x:c r="A59" s="571" t="n">
        <x:f>'Инвест. расчет'!$A$115</x:f>
        <x:v>1</x:v>
      </x:c>
      <x:c r="B59" s="572" t="n">
        <x:f>'Инвест. расчет'!$B$115</x:f>
        <x:v>32928070.04363084</x:v>
      </x:c>
      <x:c r="C59" s="572" t="n">
        <x:f>'Инвест. расчет'!$C$115</x:f>
        <x:v>31804820.164622013</x:v>
      </x:c>
      <x:c r="D59" s="572" t="n">
        <x:f>'Инвест. расчет'!$D$115</x:f>
        <x:v>30726023.48680719</x:v>
      </x:c>
      <x:c r="E59" s="572" t="n">
        <x:f>'Инвест. расчет'!$E$115</x:f>
        <x:v>29689329.67864822</x:v>
      </x:c>
      <x:c r="F59" s="572" t="n">
        <x:f>'Инвест. расчет'!$F$115</x:f>
        <x:v>28692542.411152378</x:v>
      </x:c>
      <x:c r="G59" s="405"/>
      <x:c r="H59" s="405"/>
      <x:c r="I59" s="574" t="str">
        <x:v>ROI без диск.</x:v>
      </x:c>
      <x:c r="J59" s="577" t="n">
        <x:f>'Инвест. расчет'!$B$101</x:f>
        <x:v>1.8638437987406884</x:v>
      </x:c>
      <x:c r="K59" s="577" t="n">
        <x:f>'Инвест. расчет'!$C$101</x:f>
        <x:v>0.5400323493732333</x:v>
      </x:c>
      <x:c r="L59" s="405"/>
      <x:c r="M59" s="586"/>
      <x:c r="N59" s="587"/>
      <x:c r="O59" s="587"/>
      <x:c r="P59" s="588"/>
    </x:row>
    <x:row r="60">
      <x:c r="A60" s="571" t="n">
        <x:f>'Инвест. расчет'!$A$116</x:f>
        <x:v>1.15</x:v>
      </x:c>
      <x:c r="B60" s="572" t="n">
        <x:f>'Инвест. расчет'!$B$116</x:f>
        <x:v>41366234.59503062</x:v>
      </x:c>
      <x:c r="C60" s="572" t="n">
        <x:f>'Инвест. расчет'!$C$116</x:f>
        <x:v>40055352.34986012</x:v>
      </x:c>
      <x:c r="D60" s="572" t="n">
        <x:f>'Инвест. расчет'!$D$116</x:f>
        <x:v>38796135.67766625</x:v>
      </x:c>
      <x:c r="E60" s="572" t="n">
        <x:f>'Инвест. расчет'!$E$116</x:f>
        <x:v>37585856.75765093</x:v>
      </x:c>
      <x:c r="F60" s="572" t="n">
        <x:f>'Инвест. расчет'!$F$116</x:f>
        <x:v>36421966.38823039</x:v>
      </x:c>
      <x:c r="G60" s="405"/>
      <x:c r="H60" s="405"/>
      <x:c r="I60" s="574" t="str">
        <x:v>ROI диск.</x:v>
      </x:c>
      <x:c r="J60" s="577" t="n">
        <x:f>'Инвест. расчет'!$B$102</x:f>
        <x:v>1.3709726035511642</x:v>
      </x:c>
      <x:c r="K60" s="577" t="n">
        <x:f>'Инвест. расчет'!$C$102</x:f>
        <x:v>0.2749908045096876</x:v>
      </x:c>
      <x:c r="L60" s="405"/>
      <x:c r="M60" s="586"/>
      <x:c r="N60" s="587"/>
      <x:c r="O60" s="587"/>
      <x:c r="P60" s="588"/>
    </x:row>
    <x:row r="61">
      <x:c r="A61" s="571" t="n">
        <x:f>'Инвест. расчет'!$A$117</x:f>
        <x:v>1.3</x:v>
      </x:c>
      <x:c r="B61" s="572" t="n">
        <x:f>'Инвест. расчет'!$B$117</x:f>
        <x:v>49804399.14643041</x:v>
      </x:c>
      <x:c r="C61" s="572" t="n">
        <x:f>'Инвест. расчет'!$C$117</x:f>
        <x:v>48305884.535098225</x:v>
      </x:c>
      <x:c r="D61" s="572" t="n">
        <x:f>'Инвест. расчет'!$D$117</x:f>
        <x:v>46866247.86852531</x:v>
      </x:c>
      <x:c r="E61" s="572" t="n">
        <x:f>'Инвест. расчет'!$E$117</x:f>
        <x:v>45482383.836653635</x:v>
      </x:c>
      <x:c r="F61" s="572" t="n">
        <x:f>'Инвест. расчет'!$F$117</x:f>
        <x:v>44151390.36530839</x:v>
      </x:c>
      <x:c r="G61" s="405"/>
      <x:c r="H61" s="405"/>
      <x:c r="I61" s="574" t="str">
        <x:v>PP</x:v>
      </x:c>
      <x:c r="J61" s="578" t="n">
        <x:f>'Инвест. расчет'!$B$103</x:f>
        <x:v>15.376138579053343</x:v>
      </x:c>
      <x:c r="K61" s="578" t="n">
        <x:f>'Инвест. расчет'!$C$103</x:f>
        <x:v>24.322646458758378</x:v>
      </x:c>
      <x:c r="L61" s="405"/>
      <x:c r="M61" s="586"/>
      <x:c r="N61" s="587"/>
      <x:c r="O61" s="587"/>
      <x:c r="P61" s="588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574" t="str">
        <x:v>DPP</x:v>
      </x:c>
      <x:c r="J62" s="578" t="n">
        <x:f>'Инвест. расчет'!$B$104</x:f>
        <x:v>16.43286576290858</x:v>
      </x:c>
      <x:c r="K62" s="578" t="n">
        <x:f>'Инвест. расчет'!$C$104</x:f>
        <x:v>27.774621550602845</x:v>
      </x:c>
      <x:c r="L62" s="405"/>
      <x:c r="M62" s="586"/>
      <x:c r="N62" s="587"/>
      <x:c r="O62" s="587"/>
      <x:c r="P62" s="588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574" t="str">
        <x:v>IRR</x:v>
      </x:c>
      <x:c r="J63" s="577" t="n">
        <x:f>'Инвест. расчет'!$B$105</x:f>
        <x:v>1.3587758409116004</x:v>
      </x:c>
      <x:c r="K63" s="577" t="n">
        <x:f>'Инвест. расчет'!$C$105</x:f>
        <x:v>0.3964818023353913</x:v>
      </x:c>
      <x:c r="L63" s="405"/>
      <x:c r="M63" s="586"/>
      <x:c r="N63" s="587"/>
      <x:c r="O63" s="587"/>
      <x:c r="P63" s="588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574" t="str">
        <x:v>CDD</x:v>
      </x:c>
      <x:c r="J64" s="579" t="n">
        <x:f>'Инвест. расчет'!$B$106</x:f>
        <x:v>31804820.164622106</x:v>
      </x:c>
      <x:c r="K64" s="579" t="n">
        <x:f>'Инвест. расчет'!$C$106</x:f>
        <x:v>6379436.80398933</x:v>
      </x:c>
      <x:c r="L64" s="405"/>
      <x:c r="M64" s="589"/>
      <x:c r="N64" s="590"/>
      <x:c r="O64" s="590"/>
      <x:c r="P64" s="591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</x:row>
    <x:row r="67" ht="19.5" customHeight="1">
      <x:c r="A67" s="594" t="str">
        <x:v>Методологическая оговорка. Расчеты выполнены на горизонте 36 месяцев в номинальных рублях. Дисконтирование помесячное по эффективной годовой ставке 15,5%. Экономический эффект учитывает сокращение ручного труда, снижение потерь от простоев и ускорение подключения источников. До инвестиционного решения учебные допущения следует заменить фактическими данными предприятия.</x:v>
      </x:c>
      <x:c r="B67" s="594"/>
      <x:c r="C67" s="594"/>
      <x:c r="D67" s="594"/>
      <x:c r="E67" s="594"/>
      <x:c r="F67" s="594"/>
      <x:c r="G67" s="594"/>
      <x:c r="H67" s="594"/>
      <x:c r="I67" s="594"/>
      <x:c r="J67" s="594"/>
      <x:c r="K67" s="594"/>
      <x:c r="L67" s="594"/>
      <x:c r="M67" s="594"/>
      <x:c r="N67" s="594"/>
      <x:c r="O67" s="594"/>
      <x:c r="P67" s="594"/>
    </x:row>
    <x:row r="68" ht="19.5" customHeight="1">
      <x:c r="A68" s="594"/>
      <x:c r="B68" s="594"/>
      <x:c r="C68" s="594"/>
      <x:c r="D68" s="594"/>
      <x:c r="E68" s="594"/>
      <x:c r="F68" s="594"/>
      <x:c r="G68" s="594"/>
      <x:c r="H68" s="594"/>
      <x:c r="I68" s="594"/>
      <x:c r="J68" s="594"/>
      <x:c r="K68" s="594"/>
      <x:c r="L68" s="594"/>
      <x:c r="M68" s="594"/>
      <x:c r="N68" s="594"/>
      <x:c r="O68" s="594"/>
      <x:c r="P68" s="594"/>
    </x:row>
    <x:row r="69" ht="19.5" customHeight="1">
      <x:c r="A69" s="594"/>
      <x:c r="B69" s="594"/>
      <x:c r="C69" s="594"/>
      <x:c r="D69" s="594"/>
      <x:c r="E69" s="594"/>
      <x:c r="F69" s="594"/>
      <x:c r="G69" s="594"/>
      <x:c r="H69" s="594"/>
      <x:c r="I69" s="594"/>
      <x:c r="J69" s="594"/>
      <x:c r="K69" s="594"/>
      <x:c r="L69" s="594"/>
      <x:c r="M69" s="594"/>
      <x:c r="N69" s="594"/>
      <x:c r="O69" s="594"/>
      <x:c r="P69" s="594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</x:row>
  </x:sheetData>
  <x:mergeCells>
    <x:mergeCell ref="A1:P2"/>
    <x:mergeCell ref="A3:D3"/>
    <x:mergeCell ref="E3:H3"/>
    <x:mergeCell ref="I3:L3"/>
    <x:mergeCell ref="M3:P3"/>
    <x:mergeCell ref="A4:P4"/>
    <x:mergeCell ref="A6:D6"/>
    <x:mergeCell ref="A7:D9"/>
    <x:mergeCell ref="A10:D10"/>
    <x:mergeCell ref="E6:H6"/>
    <x:mergeCell ref="E7:H9"/>
    <x:mergeCell ref="E10:H10"/>
    <x:mergeCell ref="I6:L6"/>
    <x:mergeCell ref="I7:L9"/>
    <x:mergeCell ref="I10:L10"/>
    <x:mergeCell ref="M6:P6"/>
    <x:mergeCell ref="M7:P9"/>
    <x:mergeCell ref="M10:P10"/>
    <x:mergeCell ref="A12:D12"/>
    <x:mergeCell ref="A13:D15"/>
    <x:mergeCell ref="A16:D16"/>
    <x:mergeCell ref="E12:H12"/>
    <x:mergeCell ref="E13:H15"/>
    <x:mergeCell ref="E16:H16"/>
    <x:mergeCell ref="I12:L12"/>
    <x:mergeCell ref="I13:L15"/>
    <x:mergeCell ref="I16:L16"/>
    <x:mergeCell ref="M12:P12"/>
    <x:mergeCell ref="M13:P15"/>
    <x:mergeCell ref="M16:P16"/>
    <x:mergeCell ref="A18:H18"/>
    <x:mergeCell ref="I18:P18"/>
    <x:mergeCell ref="A36:H36"/>
    <x:mergeCell ref="I36:P36"/>
    <x:mergeCell ref="A55:G55"/>
    <x:mergeCell ref="I55:P55"/>
    <x:mergeCell ref="M56:P64"/>
    <x:mergeCell ref="A67:P69"/>
  </x:mergeCells>
  <x:conditionalFormatting sqref="B57:F61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a71b3949e2c04dfe"/>
</x:worksheet>
</file>