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f25675215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юме (Проекта 1)" sheetId="62" r:id="R2b591e035d594ca8"/>
    <x:sheet xmlns:r="http://schemas.openxmlformats.org/officeDocument/2006/relationships" name="TCO (Проект 1)" sheetId="59" r:id="R759d57e9f60145b5"/>
    <x:sheet xmlns:r="http://schemas.openxmlformats.org/officeDocument/2006/relationships" name="Дерево КПЭ (Проект 1)" sheetId="61" r:id="R018641cfea7c4e19"/>
    <x:sheet xmlns:r="http://schemas.openxmlformats.org/officeDocument/2006/relationships" name="Факторный анализ" sheetId="58" r:id="Rfa36b8f9586a454d"/>
    <x:sheet xmlns:r="http://schemas.openxmlformats.org/officeDocument/2006/relationships" name="Исходные данные" sheetId="63" r:id="R204f4a93790a45ae"/>
    <x:sheet xmlns:r="http://schemas.openxmlformats.org/officeDocument/2006/relationships" name="Расчет эффектов" sheetId="64" r:id="R85fe081a7ec74e17"/>
    <x:sheet xmlns:r="http://schemas.openxmlformats.org/officeDocument/2006/relationships" name="Инвест. итоги" sheetId="65" r:id="Rbbe3c2b54ee54ac7"/>
    <x:sheet xmlns:r="http://schemas.openxmlformats.org/officeDocument/2006/relationships" name="Проверки и источники" sheetId="66" r:id="R5e8f4aeec10d4afc"/>
  </x:sheets>
</x:workbook>
</file>

<file path=xl/comments1.xml><?xml version="1.0" encoding="utf-8"?>
<x:comments xmlns:x="http://schemas.openxmlformats.org/spreadsheetml/2006/main">
  <x:authors>
    <x:author>tc={67F1CC06-B94A-E95F-DFF9-AF1E05A72178}</x:author>
    <x:author>tc={94857961-1B8F-94E5-3405-1604FBC8E8E6}</x:author>
    <x:author>tc={2A92B976-69CE-72FC-BE4F-D99980B6C759}</x:author>
    <x:author>tc={6D335592-0A34-D511-62CB-1F1EB4DEE5C4}</x:author>
    <x:author>tc={599438CB-4008-21E1-5243-06470031FD68}</x:author>
    <x:author>tc={63C7697C-0568-A3DC-C043-3063E5944DD7}</x:author>
    <x:author>tc={2A398D41-E3F2-5053-0E00-C881BCB93EE5}</x:author>
    <x:author>tc={4DAFB7D5-C19F-A46E-9F05-C0312AA58A38}</x:author>
    <x:author>tc={E873B292-DF0D-8E86-67A5-EE7F74353CEB}</x:author>
    <x:author>tc={5C4287E6-3E4C-F35E-4A13-832E592B4D10}</x:author>
    <x:author>tc={A7B26872-818C-CF41-DE5F-F3DABDC27196}</x:author>
    <x:author>tc={3D431B99-4F9D-3C6F-1776-C00CED79CF7E}</x:author>
  </x:authors>
  <x:commentList>
    <x:comment ref="C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Банк России. Ключевая ставка 14,00% годовых с 27.07.2026. Проверено 11.08.2026.</x:t>
        </x:r>
      </x:text>
    </x:comment>
    <x:comment ref="C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условие расчета от заказчика — ключевая ставка Банка России плюс 1,5 процентного пункта.</x:t>
        </x:r>
      </x:text>
    </x:comment>
    <x:comment ref="C1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лекция по экономике IT Camp, слайд 20 — горизонт оценки эффектов ИТ/ЦТ ограничен пятью годами после ввода.</x:t>
        </x:r>
      </x:text>
    </x:comment>
    <x:comment ref="C16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условие расчета — ставка поддержки/оператора 2 000 руб./час.</x:t>
        </x:r>
      </x:text>
    </x:comment>
    <x:comment ref="C17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условие расчета — ставка участника проектной команды 3 500 руб./час.</x:t>
        </x:r>
      </x:text>
    </x:comment>
    <x:comment ref="C2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кейс IT Camp — два сервера NVIDIA A30 увеличивают бюджет на 400 тыс. руб.</x:t>
        </x:r>
      </x:text>
    </x:comment>
    <x:comment ref="C36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кейс IT Camp — ручная обработка оповещений L1 составляет 48 человеко-часов в сутки.</x:t>
        </x:r>
      </x:text>
    </x:comment>
    <x:comment ref="C37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кейс IT Camp — цель NOC: сокращение ручной фильтрации на 60%.</x:t>
        </x:r>
      </x:text>
    </x:comment>
    <x:comment ref="C42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кейс IT Camp — экономия ФОТ поддержки 1,1 млн руб. в квартал.</x:t>
        </x:r>
      </x:text>
    </x:comment>
    <x:comment ref="C5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кейс IT Camp — ущерб от одного критического инцидента порядка 3,2 млн руб.</x:t>
        </x:r>
      </x:text>
    </x:comment>
    <x:comment ref="C63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кейс IT Camp — 65% уведомлений закрываются инженерами без реакции в первые две минуты.</x:t>
        </x:r>
      </x:text>
    </x:comment>
    <x:comment ref="C69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Источник: ориентир заказчика 130–150 млн руб. используется только для отдельного сценария промышленного тиражирования.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4">
    <x:numFmt numFmtId="44" formatCode="_-* #,##0.00\ &quot;₽&quot;_-;\-* #,##0.00\ &quot;₽&quot;_-;_-* &quot;-&quot;??\ &quot;₽&quot;_-;_-@_-"/>
    <x:numFmt numFmtId="43" formatCode="_-* #,##0.00_-;\-* #,##0.00_-;_-* &quot;-&quot;??_-;_-@_-"/>
    <x:numFmt numFmtId="164" formatCode="_-* #,##0.00&quot;р.&quot;_-;\-* #,##0.00&quot;р.&quot;_-;_-* &quot;-&quot;??&quot;р.&quot;_-;_-@_-"/>
    <x:numFmt numFmtId="165" formatCode="_-* #,##0.00_р_._-;\-* #,##0.00_р_._-;_-* &quot;-&quot;??_р_._-;_-@_-"/>
    <x:numFmt numFmtId="166" formatCode="0.000"/>
    <x:numFmt numFmtId="167" formatCode="_-* #,##0.00[$€-1]_-;\-* #,##0.00[$€-1]_-;_-* &quot;-&quot;??[$€-1]_-"/>
    <x:numFmt numFmtId="168" formatCode="#,##0.00_ ;[Red]\-#,##0.00\ ;\-"/>
    <x:numFmt numFmtId="169" formatCode="#,##0\ [$₽-419]"/>
    <x:numFmt numFmtId="170" formatCode="#,##0.00\ [$₽-419]"/>
    <x:numFmt numFmtId="172" formatCode="#,##0_ ;\-#,##0\ "/>
    <x:numFmt numFmtId="200" formatCode="#,##0"/>
    <x:numFmt numFmtId="201" formatCode="0.0%"/>
    <x:numFmt numFmtId="202" formatCode="0"/>
    <x:numFmt numFmtId="203" formatCode="#,##0.0"/>
    <x:numFmt numFmtId="204" formatCode="0.00"/>
    <x:numFmt numFmtId="205" formatCode="#,##0.00"/>
    <x:numFmt numFmtId="206" formatCode="0%"/>
    <x:numFmt numFmtId="207" formatCode="0.0%;[Red](0.0%);-"/>
    <x:numFmt numFmtId="208" formatCode="0.00 &quot;млн ₽&quot;;[Red](0.00 &quot;млн ₽&quot;);-"/>
    <x:numFmt numFmtId="209" formatCode="#,##0.0;[Red](#,##0.0);-"/>
    <x:numFmt numFmtId="210" formatCode="#,##0;[Red](#,##0);-"/>
    <x:numFmt numFmtId="211" formatCode="0.000x"/>
    <x:numFmt numFmtId="212" formatCode="0.0 &quot;млн ₽&quot;;[Red](0.0 &quot;млн ₽&quot;);-"/>
    <x:numFmt numFmtId="213" formatCode="0.00x"/>
  </x:numFmts>
  <x:fonts count="69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sz val="10"/>
      <x:name val="Arial Cyr"/>
    </x:font>
    <x:font>
      <x:b/>
      <x:sz val="10"/>
      <x:name val="Arial"/>
    </x:font>
    <x:font>
      <x:sz val="10"/>
      <x:name val="Helv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Arial"/>
    </x:font>
    <x:font>
      <x:b/>
      <x:sz val="11"/>
      <x:color theme="1"/>
      <x:name val="Calibri"/>
    </x:font>
    <x:font>
      <x:i/>
      <x:sz val="10"/>
      <x:color rgb="FF808080"/>
      <x:name val="Arial"/>
    </x:font>
    <x:font>
      <x:b/>
      <x:sz val="10"/>
      <x:color rgb="FFFFFF0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i/>
      <x:sz val="11"/>
      <x:color theme="1"/>
      <x:name val="Calibri"/>
    </x:font>
    <x:font>
      <x:i/>
      <x:sz val="10"/>
      <x:color indexed="55"/>
      <x:name val="Arial"/>
    </x:font>
    <x:font>
      <x:b/>
      <x:sz val="11"/>
      <x:color theme="0"/>
      <x:name val="Calibri"/>
    </x:font>
    <x:font>
      <x:sz val="11"/>
      <x:color rgb="FFFF0000"/>
      <x:name val="Calibri"/>
    </x:font>
    <x:font>
      <x:b/>
      <x:sz val="16"/>
      <x:color theme="1"/>
      <x:name val="Calibri"/>
    </x:font>
    <x:font>
      <x:sz val="9"/>
      <x:color rgb="FFFFFFFF"/>
      <x:name val="Arial"/>
    </x:font>
    <x:font>
      <x:b/>
      <x:sz val="12"/>
      <x:color rgb="FFFF0000"/>
      <x:name val="Calibri"/>
    </x:font>
    <x:font>
      <x:b/>
      <x:sz val="11"/>
      <x:color rgb="FFFF0000"/>
      <x:name val="Calibri"/>
    </x:font>
    <x:font>
      <x:b/>
      <x:sz val="10"/>
      <x:color theme="1"/>
      <x:name val="Arial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7"/>
      <x:color theme="1"/>
      <x:name val="Calibri"/>
    </x:font>
    <x:font>
      <x:sz val="9"/>
      <x:color theme="1"/>
      <x:name val="Calibri"/>
    </x:font>
    <x:font>
      <x:sz val="7"/>
      <x:color theme="1"/>
      <x:name val="Calibri"/>
    </x:font>
    <x:font>
      <x:sz val="11"/>
      <x:color theme="1"/>
      <x:name val="Calibri"/>
    </x:font>
    <x:font>
      <x:sz val="11"/>
      <x:color rgb="FFFF0000"/>
      <x:name val="Arial"/>
    </x:font>
    <x:font>
      <x:i/>
      <x:sz val="9"/>
      <x:color rgb="FFFFFFFF"/>
      <x:name val="Arial"/>
    </x:font>
    <x:font>
      <x:sz val="12"/>
      <x:color rgb="FF000000"/>
      <x:name val="Arial Narrow"/>
    </x:font>
    <x:font>
      <x:b/>
      <x:sz val="16"/>
      <x:color rgb="FFFFFFFF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sz val="9"/>
      <x:color rgb="FF1F1F1F"/>
      <x:name val="Arial"/>
    </x:font>
    <x:font>
      <x:i/>
      <x:sz val="9"/>
      <x:color rgb="FF1F1F1F"/>
      <x:name val="Arial"/>
    </x:font>
    <x:font>
      <x:b/>
      <x:sz val="9"/>
      <x:color rgb="FF1F1F1F"/>
      <x:name val="Arial"/>
    </x:font>
    <x:font>
      <x:b/>
      <x:i/>
      <x:sz val="9"/>
      <x:color rgb="FF1F1F1F"/>
      <x:name val="Arial"/>
    </x:font>
    <x:font>
      <x:b/>
      <x:sz val="10"/>
      <x:color rgb="FF004077"/>
      <x:name val="Arial"/>
    </x:font>
    <x:font>
      <x:b/>
      <x:sz val="16"/>
      <x:color rgb="FF004077"/>
      <x:name val="Arial"/>
    </x:font>
    <x:font>
      <x:b/>
      <x:sz val="16"/>
      <x:color rgb="FF2F75B5"/>
      <x:name val="Arial"/>
    </x:font>
    <x:font>
      <x:b/>
      <x:sz val="16"/>
      <x:color rgb="FF548235"/>
      <x:name val="Arial"/>
    </x:font>
    <x:font>
      <x:b/>
      <x:sz val="16"/>
      <x:color rgb="FF00B0F0"/>
      <x:name val="Arial"/>
    </x:font>
    <x:font>
      <x:b/>
      <x:sz val="16"/>
      <x:color rgb="FF595959"/>
      <x:name val="Arial"/>
    </x:font>
    <x:font>
      <x:b/>
      <x:sz val="16"/>
      <x:color rgb="FF70AD47"/>
      <x:name val="Arial"/>
    </x:font>
    <x:font>
      <x:b/>
      <x:sz val="15"/>
      <x:color rgb="FFFFFFFF"/>
      <x:name val="Arial"/>
    </x:font>
    <x:font>
      <x:b/>
      <x:sz val="10"/>
      <x:color rgb="FF548235"/>
      <x:name val="Arial"/>
    </x:font>
    <x:font>
      <x:b/>
      <x:sz val="18"/>
      <x:color rgb="FFFFFFFF"/>
      <x:name val="Aptos Display"/>
    </x:font>
    <x:font>
      <x:sz val="10"/>
      <x:color rgb="FF68737D"/>
      <x:name val="Aptos"/>
    </x:font>
    <x:font>
      <x:b/>
      <x:sz val="11"/>
      <x:color rgb="FFFFFFFF"/>
      <x:name val="Aptos"/>
    </x:font>
    <x:font>
      <x:b/>
      <x:sz val="10"/>
      <x:color rgb="FF0B2B4C"/>
      <x:name val="Aptos"/>
    </x:font>
    <x:font>
      <x:sz val="10"/>
      <x:color rgb="FF111827"/>
      <x:name val="Aptos"/>
    </x:font>
    <x:font>
      <x:sz val="10"/>
      <x:color rgb="FF0000FF"/>
      <x:name val="Aptos"/>
    </x:font>
    <x:font>
      <x:b/>
      <x:sz val="10"/>
      <x:color rgb="FFFFFFFF"/>
      <x:name val="Aptos"/>
    </x:font>
    <x:font>
      <x:b/>
      <x:sz val="20"/>
      <x:color rgb="FF0B2B4C"/>
      <x:name val="Aptos Display"/>
    </x:font>
    <x:font>
      <x:b/>
      <x:sz val="11"/>
      <x:color rgb="FF0B2B4C"/>
      <x:name val="Aptos"/>
    </x:font>
    <x:font>
      <x:b/>
      <x:sz val="12"/>
      <x:color rgb="FFFFFFFF"/>
      <x:name val="Aptos"/>
    </x:font>
    <x:font>
      <x:b/>
      <x:sz val="22"/>
      <x:color rgb="FF0B2B4C"/>
      <x:name val="Aptos Display"/>
    </x:font>
    <x:font>
      <x:sz val="10"/>
      <x:color rgb="FF008000"/>
      <x:name val="Aptos"/>
    </x:font>
    <x:font>
      <x:b/>
      <x:sz val="10"/>
      <x:color rgb="FF008000"/>
      <x:name val="Aptos"/>
    </x:font>
  </x:fonts>
  <x:fills count="42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0" tint="-0.04999"/>
      </x:patternFill>
    </x:fill>
    <x:fill>
      <x:patternFill patternType="solid">
        <x:fgColor theme="0" tint="-0.15"/>
      </x:patternFill>
    </x:fill>
    <x:fill>
      <x:patternFill patternType="solid">
        <x:fgColor theme="4" tint="0.79998"/>
      </x:patternFill>
    </x:fill>
    <x:fill>
      <x:patternFill patternType="solid">
        <x:fgColor theme="0" tint="-0.15"/>
      </x:patternFill>
    </x:fill>
    <x:fill>
      <x:patternFill patternType="solid">
        <x:fgColor rgb="FFFFFFCC"/>
      </x:patternFill>
    </x:fill>
    <x:fill>
      <x:patternFill patternType="solid">
        <x:fgColor rgb="FF004077"/>
      </x:patternFill>
    </x:fill>
    <x:fill>
      <x:patternFill patternType="solid">
        <x:fgColor rgb="FF2FB4E9"/>
      </x:patternFill>
    </x:fill>
    <x:fill>
      <x:patternFill patternType="solid">
        <x:fgColor theme="3" tint="0.39998"/>
      </x:patternFill>
    </x:fill>
    <x:fill>
      <x:patternFill patternType="solid">
        <x:fgColor theme="3" tint="0.39998"/>
      </x:patternFill>
    </x:fill>
    <x:fill>
      <x:patternFill patternType="solid">
        <x:fgColor theme="4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59999"/>
      </x:patternFill>
    </x:fill>
    <x:fill>
      <x:patternFill patternType="solid">
        <x:fgColor rgb="FF00407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548235"/>
      </x:patternFill>
    </x:fill>
    <x:fill>
      <x:patternFill patternType="solid">
        <x:fgColor rgb="FF00B0F0"/>
      </x:patternFill>
    </x:fill>
    <x:fill>
      <x:patternFill patternType="solid">
        <x:fgColor rgb="FF595959"/>
      </x:patternFill>
    </x:fill>
    <x:fill>
      <x:patternFill patternType="solid">
        <x:fgColor rgb="FF70AD47"/>
      </x:patternFill>
    </x:fill>
    <x:fill>
      <x:patternFill patternType="solid">
        <x:fgColor rgb="FF004077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0B2B4C"/>
      </x:patternFill>
    </x:fill>
    <x:fill>
      <x:patternFill patternType="solid">
        <x:fgColor rgb="FFEEF6FB"/>
      </x:patternFill>
    </x:fill>
    <x:fill>
      <x:patternFill patternType="solid">
        <x:fgColor rgb="FF1468A8"/>
      </x:patternFill>
    </x:fill>
    <x:fill>
      <x:patternFill patternType="solid">
        <x:fgColor rgb="FFDCECF8"/>
      </x:patternFill>
    </x:fill>
    <x:fill>
      <x:patternFill patternType="solid">
        <x:fgColor rgb="FFE8F3E8"/>
      </x:patternFill>
    </x:fill>
    <x:fill>
      <x:patternFill patternType="solid">
        <x:fgColor rgb="FFE67E22"/>
      </x:patternFill>
    </x:fill>
    <x:fill>
      <x:patternFill patternType="solid">
        <x:fgColor rgb="FFFCEAD9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</x:fills>
  <x:borders count="234">
    <x:border/>
    <x:border>
      <x:bottom style="thin">
        <x:color theme="1" tint="0.49998"/>
      </x:bottom>
    </x:border>
    <x:border>
      <x:top style="thin">
        <x:color theme="1" tint="0.49998"/>
      </x:top>
    </x:border>
    <x:border>
      <x:left style="thin">
        <x:color theme="2" tint="-0.49998"/>
      </x:left>
      <x:right style="thin">
        <x:color theme="2" tint="-0.49998"/>
      </x:right>
      <x:top style="thin">
        <x:color theme="2" tint="-0.49998"/>
      </x:top>
      <x:bottom style="thin">
        <x:color theme="2" tint="-0.49998"/>
      </x:bottom>
    </x:border>
    <x:border>
      <x:right style="thin">
        <x:color theme="3"/>
      </x:right>
    </x:border>
    <x:border>
      <x:left style="thin">
        <x:color theme="3"/>
      </x:left>
      <x:right style="thin">
        <x:color theme="3"/>
      </x:right>
      <x:top style="thin">
        <x:color theme="3"/>
      </x:top>
    </x:border>
    <x:border>
      <x:bottom style="thin">
        <x:color theme="2" tint="-0.49998"/>
      </x:bottom>
    </x:border>
    <x:border>
      <x:left style="thin">
        <x:color theme="2" tint="-0.49998"/>
      </x:left>
      <x:right style="thin">
        <x:color theme="2" tint="-0.49998"/>
      </x:right>
      <x:bottom style="thin">
        <x:color theme="2" tint="-0.49998"/>
      </x:bottom>
    </x:border>
    <x:border>
      <x:left style="thin">
        <x:color theme="1" tint="0.34999"/>
      </x:left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bottom style="thin">
        <x:color theme="3"/>
      </x:bottom>
    </x:border>
    <x:border>
      <x:top style="thin">
        <x:color theme="1" tint="0.49998"/>
      </x:top>
      <x:bottom style="thin">
        <x:color theme="1" tint="0.49998"/>
      </x:bottom>
    </x:border>
    <x:border>
      <x:left style="thin">
        <x:color theme="1" tint="0.49998"/>
      </x:left>
      <x:top style="thin">
        <x:color theme="1" tint="0.49998"/>
      </x:top>
      <x:bottom style="thin">
        <x:color theme="1" tint="0.49998"/>
      </x:bottom>
    </x:border>
    <x:border>
      <x:left style="thin">
        <x:color theme="1" tint="0.49998"/>
      </x:left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left style="thin">
        <x:color theme="2" tint="-0.49998"/>
      </x:left>
      <x:bottom style="thin">
        <x:color theme="2" tint="-0.49998"/>
      </x:bottom>
    </x:border>
    <x:border>
      <x:left style="thin">
        <x:color theme="2" tint="-0.49998"/>
      </x:left>
      <x:top style="thin">
        <x:color theme="2" tint="-0.49998"/>
      </x:top>
      <x:bottom style="thin">
        <x:color theme="2" tint="-0.49998"/>
      </x:bottom>
    </x:border>
    <x:border>
      <x:left style="thin">
        <x:color theme="2" tint="-0.49998"/>
      </x:left>
      <x:top style="thin">
        <x:color theme="2" tint="-0.49998"/>
      </x:top>
    </x:border>
    <x:border>
      <x:right style="thin">
        <x:color theme="2" tint="-0.49998"/>
      </x:right>
      <x:top style="thin">
        <x:color theme="2" tint="-0.49998"/>
      </x:top>
      <x:bottom style="thin">
        <x:color theme="2" tint="-0.49998"/>
      </x:bottom>
    </x:border>
    <x:border>
      <x:left style="thin">
        <x:color theme="1" tint="0.49998"/>
      </x:left>
      <x:right style="medium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left style="thin">
        <x:color theme="1" tint="0.49998"/>
      </x:left>
      <x:right style="medium">
        <x:color theme="1" tint="0.49998"/>
      </x:right>
      <x:top style="thin">
        <x:color theme="1" tint="0.49998"/>
      </x:top>
    </x:border>
    <x:border>
      <x:right style="medium">
        <x:color theme="1" tint="0.49998"/>
      </x:right>
      <x:top style="thin">
        <x:color theme="1" tint="0.49998"/>
      </x:top>
    </x:border>
    <x:border>
      <x:right style="medium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bottom style="thin">
        <x:color theme="0" tint="-0.49998"/>
      </x:bottom>
    </x:border>
    <x:border>
      <x:left style="medium">
        <x:color theme="1" tint="0.49998"/>
      </x:left>
      <x:right style="medium">
        <x:color theme="0" tint="-0.49998"/>
      </x:right>
      <x:top style="thin">
        <x:color theme="1" tint="0.49998"/>
      </x:top>
      <x:bottom style="thin">
        <x:color theme="1" tint="0.49998"/>
      </x:bottom>
    </x:border>
    <x:border>
      <x:right style="thin">
        <x:color theme="1" tint="0.49998"/>
      </x:right>
      <x:bottom style="thin">
        <x:color theme="1" tint="0.49998"/>
      </x:bottom>
    </x:border>
    <x:border>
      <x:right style="thin">
        <x:color theme="0" tint="-0.49998"/>
      </x:right>
    </x:border>
    <x:border>
      <x:top style="thin">
        <x:color theme="1" tint="0.49998"/>
      </x:top>
      <x:bottom style="thin">
        <x:color theme="0" tint="-0.49998"/>
      </x:bottom>
    </x:border>
    <x:border>
      <x:left style="thick">
        <x:color rgb="FFFFFFFF"/>
      </x:left>
      <x:right style="thick">
        <x:color rgb="FFFFFFFF"/>
      </x:right>
      <x:top style="thick">
        <x:color rgb="FFFFFFFF"/>
      </x:top>
      <x:bottom style="thick">
        <x:color rgb="FFFFFFFF"/>
      </x:bottom>
    </x:border>
    <x:border>
      <x:left style="thin">
        <x:color theme="0" tint="-0.49998"/>
      </x:left>
      <x:right style="thin">
        <x:color theme="1" tint="0.49998"/>
      </x:right>
      <x:top style="thin">
        <x:color theme="0" tint="-0.49998"/>
      </x:top>
    </x:border>
    <x:border>
      <x:left style="thin">
        <x:color theme="1" tint="0.49998"/>
      </x:left>
      <x:right style="medium">
        <x:color theme="1" tint="0.49998"/>
      </x:right>
      <x:top style="thin">
        <x:color theme="0" tint="-0.49998"/>
      </x:top>
    </x:border>
    <x:border>
      <x:left style="medium">
        <x:color theme="1" tint="0.49998"/>
      </x:left>
      <x:right style="medium">
        <x:color theme="1" tint="0.49998"/>
      </x:right>
      <x:top style="thin">
        <x:color theme="1" tint="0.49998"/>
      </x:top>
    </x:border>
    <x:border>
      <x:left style="medium">
        <x:color theme="1" tint="0.49998"/>
      </x:left>
      <x:right style="medium">
        <x:color theme="0" tint="-0.49998"/>
      </x:right>
      <x:top style="thin">
        <x:color theme="1" tint="0.49998"/>
      </x:top>
    </x:border>
    <x:border>
      <x:left style="thin">
        <x:color theme="0" tint="-0.49998"/>
      </x:left>
      <x:right style="thin">
        <x:color theme="0" tint="-0.49998"/>
      </x:right>
      <x:top style="thin">
        <x:color indexed="64"/>
      </x:top>
      <x:bottom style="thin">
        <x:color indexed="64"/>
      </x:bottom>
    </x:border>
    <x:border>
      <x:top style="thin">
        <x:color theme="0" tint="-0.49998"/>
      </x:top>
    </x:border>
    <x:border>
      <x:left style="thin">
        <x:color theme="0" tint="-0.49998"/>
      </x:left>
      <x:right style="thin">
        <x:color theme="0" tint="-0.49998"/>
      </x:right>
      <x:top style="thin">
        <x:color theme="0" tint="-0.49998"/>
      </x:top>
      <x:bottom style="thin">
        <x:color theme="0" tint="-0.49998"/>
      </x:bottom>
    </x:border>
    <x:border>
      <x:left style="thick">
        <x:color rgb="FFFFFFFF"/>
      </x:left>
      <x:right style="thick">
        <x:color rgb="FFFFFFFF"/>
      </x:right>
      <x:top style="thick">
        <x:color rgb="FFFFFFFF"/>
      </x:top>
    </x:border>
    <x:border>
      <x:left style="thin">
        <x:color theme="1" tint="0.49998"/>
      </x:left>
      <x:right style="medium">
        <x:color theme="1" tint="0.49998"/>
      </x:right>
      <x:bottom style="thin">
        <x:color theme="1" tint="0.49998"/>
      </x:bottom>
    </x:border>
    <x:border>
      <x:left style="medium">
        <x:color theme="1" tint="0.49998"/>
      </x:left>
      <x:right style="medium">
        <x:color theme="1" tint="0.49998"/>
      </x:right>
      <x:bottom style="thin">
        <x:color theme="1" tint="0.49998"/>
      </x:bottom>
    </x:border>
    <x:border>
      <x:left style="medium">
        <x:color theme="1" tint="0.49998"/>
      </x:left>
      <x:right style="medium">
        <x:color theme="0" tint="-0.49998"/>
      </x:right>
      <x:bottom style="thin">
        <x:color theme="1" tint="0.49998"/>
      </x:bottom>
    </x:border>
    <x:border>
      <x:left style="thin">
        <x:color theme="0" tint="-0.49998"/>
      </x:left>
      <x:right style="thin">
        <x:color theme="0" tint="-0.49998"/>
      </x:right>
      <x:bottom style="thin">
        <x:color theme="0" tint="-0.49998"/>
      </x:bottom>
    </x:border>
    <x:border>
      <x:left style="thin">
        <x:color theme="0" tint="-0.49998"/>
      </x:left>
      <x:right style="thin">
        <x:color theme="1" tint="0.49998"/>
      </x:right>
      <x:top style="thin">
        <x:color indexed="64"/>
      </x:top>
      <x:bottom style="thin">
        <x:color theme="0" tint="-0.49998"/>
      </x:bottom>
    </x:border>
    <x:border>
      <x:left style="thin">
        <x:color theme="1" tint="0.49998"/>
      </x:left>
      <x:right style="thin">
        <x:color theme="1" tint="0.49998"/>
      </x:right>
      <x:bottom style="thin">
        <x:color theme="1" tint="0.49998"/>
      </x:bottom>
    </x:border>
    <x:border>
      <x:left style="thin">
        <x:color theme="1" tint="0.49998"/>
      </x:left>
      <x:right style="thin">
        <x:color theme="0" tint="-0.49998"/>
      </x:right>
      <x:bottom style="thin">
        <x:color theme="1" tint="0.49998"/>
      </x:bottom>
    </x:border>
    <x:border>
      <x:right style="thin">
        <x:color theme="0" tint="-0.49998"/>
      </x:right>
      <x:top style="thin">
        <x:color theme="1" tint="0.49998"/>
      </x:top>
      <x:bottom style="thin">
        <x:color theme="1" tint="0.49998"/>
      </x:bottom>
    </x:border>
    <x:border>
      <x:left style="thin">
        <x:color theme="0" tint="-0.49998"/>
      </x:left>
      <x:right style="thin">
        <x:color theme="1" tint="0.49998"/>
      </x:right>
      <x:bottom style="thin">
        <x:color theme="0" tint="-0.49998"/>
      </x:bottom>
    </x:border>
    <x:border>
      <x:right style="thin">
        <x:color theme="1" tint="0.49998"/>
      </x:right>
      <x:top style="thin">
        <x:color theme="1" tint="0.49998"/>
      </x:top>
      <x:bottom style="thin">
        <x:color theme="0" tint="-0.49998"/>
      </x:bottom>
    </x:border>
    <x:border>
      <x:left style="thin">
        <x:color theme="1" tint="0.49998"/>
      </x:left>
      <x:right style="thin">
        <x:color theme="0" tint="-0.49998"/>
      </x:right>
      <x:top style="thin">
        <x:color theme="1" tint="0.49998"/>
      </x:top>
      <x:bottom style="thin">
        <x:color theme="1" tint="0.49998"/>
      </x:bottom>
    </x:border>
    <x:border>
      <x:right style="thin">
        <x:color theme="1" tint="0.49998"/>
      </x:right>
      <x:top style="thin">
        <x:color theme="1" tint="0.49998"/>
      </x:top>
    </x:border>
    <x:border>
      <x:left style="thin">
        <x:color theme="1" tint="0.49998"/>
      </x:left>
      <x:right style="thin">
        <x:color theme="0" tint="-0.49998"/>
      </x:right>
      <x:top style="thin">
        <x:color theme="1" tint="0.49998"/>
      </x:top>
    </x:border>
    <x:border>
      <x:left style="thin">
        <x:color theme="0" tint="-0.49998"/>
      </x:left>
      <x:top style="thin">
        <x:color theme="0" tint="-0.49998"/>
      </x:top>
      <x:bottom style="thin">
        <x:color theme="0" tint="-0.49998"/>
      </x:bottom>
    </x:border>
    <x:border>
      <x:top style="thin">
        <x:color theme="0" tint="-0.49998"/>
      </x:top>
      <x:bottom style="thin">
        <x:color theme="0" tint="-0.49998"/>
      </x:bottom>
    </x:border>
    <x:border>
      <x:left style="thin">
        <x:color theme="0" tint="-0.49998"/>
      </x:left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left style="medium">
        <x:color theme="0" tint="-0.49998"/>
      </x:left>
      <x:right style="thin">
        <x:color theme="1" tint="0.49998"/>
      </x:right>
      <x:top style="thin">
        <x:color theme="1" tint="0.49998"/>
      </x:top>
      <x:bottom style="thin">
        <x:color theme="0" tint="-0.49998"/>
      </x:bottom>
    </x:border>
    <x:border>
      <x:left style="thin">
        <x:color theme="1" tint="0.49998"/>
      </x:left>
      <x:right style="thin">
        <x:color theme="0" tint="-0.49998"/>
      </x:right>
      <x:top style="thin">
        <x:color theme="1" tint="0.49998"/>
      </x:top>
      <x:bottom style="thin">
        <x:color theme="0" tint="-0.49998"/>
      </x:bottom>
    </x:border>
    <x:border>
      <x:left style="medium">
        <x:color theme="0" tint="-0.49998"/>
      </x:left>
      <x:right style="medium">
        <x:color theme="0" tint="-0.49998"/>
      </x:right>
      <x:top style="thin">
        <x:color theme="1" tint="0.49998"/>
      </x:top>
      <x:bottom style="thin">
        <x:color theme="1" tint="0.49998"/>
      </x:bottom>
    </x:border>
    <x:border>
      <x:left style="medium">
        <x:color theme="0" tint="-0.49998"/>
      </x:left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left style="thin">
        <x:color theme="0" tint="-0.49998"/>
      </x:left>
      <x:right style="thin">
        <x:color theme="0" tint="-0.49998"/>
      </x:right>
      <x:top style="thin">
        <x:color theme="0" tint="-0.49998"/>
      </x:top>
    </x:border>
    <x:border>
      <x:left style="thin">
        <x:color theme="0" tint="-0.49998"/>
      </x:left>
      <x:right style="thin">
        <x:color theme="0" tint="-0.49998"/>
      </x:right>
    </x:border>
    <x:border>
      <x:left style="thick">
        <x:color rgb="FFFFFFFF"/>
      </x:left>
      <x:top style="thick">
        <x:color rgb="FFFFFFFF"/>
      </x:top>
      <x:bottom style="thick">
        <x:color rgb="FFFFFFFF"/>
      </x:bottom>
    </x:border>
    <x:border>
      <x:top style="thick">
        <x:color rgb="FFFFFFFF"/>
      </x:top>
      <x:bottom style="thick">
        <x:color rgb="FFFFFFFF"/>
      </x:bottom>
    </x:border>
    <x:border>
      <x:right style="thick">
        <x:color rgb="FFFFFFFF"/>
      </x:right>
      <x:top style="thick">
        <x:color rgb="FFFFFFFF"/>
      </x:top>
      <x:bottom style="thick">
        <x:color rgb="FFFFFFFF"/>
      </x:bottom>
    </x:border>
    <x:border>
      <x:left style="thick">
        <x:color rgb="FFFFFFFF"/>
      </x:left>
      <x:bottom style="thick">
        <x:color rgb="FFFFFFFF"/>
      </x:bottom>
    </x:border>
    <x:border>
      <x:bottom style="thick">
        <x:color rgb="FFFFFFFF"/>
      </x:bottom>
    </x:border>
    <x:border>
      <x:left style="thick">
        <x:color rgb="FFFFFFFF"/>
      </x:left>
      <x:right style="thick">
        <x:color rgb="FFFFFFFF"/>
      </x:right>
      <x:bottom style="thick">
        <x:color rgb="FFFFFFFF"/>
      </x:bottom>
    </x:border>
    <x:border>
      <x:left style="thick">
        <x:color rgb="FFFFFFFF"/>
      </x:left>
      <x:top style="thick">
        <x:color rgb="FFFFFFFF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top style="thick">
        <x:color rgb="FFFFFFFF"/>
      </x:top>
      <x:bottom style="medium">
        <x:color indexed="64"/>
      </x:bottom>
    </x:border>
    <x:border>
      <x:right style="thin">
        <x:color indexed="64"/>
      </x:right>
      <x:top style="thick">
        <x:color rgb="FFFFFFFF"/>
      </x:top>
      <x:bottom style="medium">
        <x:color indexed="64"/>
      </x:bottom>
    </x:border>
    <x:border>
      <x:left style="thin">
        <x:color indexed="64"/>
      </x:lef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hair">
        <x:color indexed="64"/>
      </x:right>
      <x:top style="thick">
        <x:color rgb="FFFFFFFF"/>
      </x:top>
      <x:bottom style="medium">
        <x:color indexed="64"/>
      </x:bottom>
    </x:border>
    <x:border>
      <x:right style="hair">
        <x:color indexed="64"/>
      </x:right>
      <x:top style="thick">
        <x:color rgb="FFFFFFFF"/>
      </x:top>
      <x:bottom style="medium">
        <x:color indexed="64"/>
      </x:bottom>
    </x:border>
    <x:border>
      <x:top style="thick">
        <x:color rgb="FFFFFFFF"/>
      </x:top>
      <x:bottom style="medium">
        <x:color indexed="64"/>
      </x:bottom>
    </x:border>
    <x:border>
      <x:left style="thick">
        <x:color rgb="FFFFFFFF"/>
      </x:left>
      <x:top style="medium">
        <x:color indexed="64"/>
      </x:top>
      <x:bottom style="medium">
        <x:color indexed="64"/>
      </x:bottom>
    </x:border>
    <x:border>
      <x:left style="hair">
        <x:color indexed="64"/>
      </x:left>
      <x:right style="hair">
        <x:color indexed="64"/>
      </x:right>
      <x:top style="medium">
        <x:color indexed="64"/>
      </x:top>
      <x:bottom style="medium">
        <x:color indexed="64"/>
      </x:bottom>
    </x:border>
    <x:border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hair">
        <x:color indexed="64"/>
      </x:right>
      <x:top style="medium">
        <x:color indexed="64"/>
      </x:top>
      <x:bottom style="medium">
        <x:color indexed="64"/>
      </x:bottom>
    </x:border>
    <x:border>
      <x:right style="hair">
        <x:color indexed="64"/>
      </x:righ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thick">
        <x:color rgb="FFFFFFFF"/>
      </x:left>
      <x:top style="medium">
        <x:color indexed="64"/>
      </x:top>
      <x:bottom style="hair">
        <x:color indexed="64"/>
      </x:bottom>
    </x:border>
    <x:border>
      <x:top style="medium">
        <x:color indexed="64"/>
      </x:top>
      <x:bottom style="hair">
        <x:color indexed="64"/>
      </x:bottom>
    </x:border>
    <x:border>
      <x:right style="thin">
        <x:color indexed="64"/>
      </x:right>
      <x:top style="medium">
        <x:color indexed="64"/>
      </x:top>
      <x:bottom style="hair">
        <x:color indexed="64"/>
      </x:bottom>
    </x:border>
    <x:border>
      <x:left style="thin">
        <x:color indexed="64"/>
      </x:left>
      <x:top style="medium">
        <x:color indexed="64"/>
      </x:top>
      <x:bottom style="hair">
        <x:color indexed="64"/>
      </x:bottom>
    </x:border>
    <x:border>
      <x:left style="thick">
        <x:color rgb="FFFFFFFF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thin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left style="thick">
        <x:color rgb="FFFFFFFF"/>
      </x:left>
      <x:right style="hair">
        <x:color indexed="64"/>
      </x:right>
      <x:top style="medium">
        <x:color indexed="64"/>
      </x:top>
      <x:bottom style="medium">
        <x:color indexed="64"/>
      </x:bottom>
    </x:border>
    <x:border>
      <x:left style="thick">
        <x:color rgb="FFFFFFFF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left style="thick">
        <x:color rgb="FFFFFFFF"/>
      </x:left>
      <x:top style="hair">
        <x:color indexed="64"/>
      </x:top>
    </x:border>
    <x:border>
      <x:top style="hair">
        <x:color indexed="64"/>
      </x:top>
    </x:border>
    <x:border>
      <x:right style="thin">
        <x:color indexed="64"/>
      </x:right>
      <x:top style="hair">
        <x:color indexed="64"/>
      </x:top>
    </x:border>
    <x:border>
      <x:left style="thin">
        <x:color indexed="64"/>
      </x:left>
      <x:top style="hair">
        <x:color indexed="64"/>
      </x:top>
    </x:border>
    <x:border>
      <x:top style="medium">
        <x:color indexed="64"/>
      </x:top>
    </x:border>
    <x:border>
      <x:left style="medium">
        <x:color theme="1" tint="0.49998"/>
      </x:left>
      <x:right style="medium">
        <x:color theme="0" tint="-0.49998"/>
      </x:right>
    </x:border>
    <x:border>
      <x:left style="thin">
        <x:color theme="0" tint="-0.49998"/>
      </x:left>
      <x:right style="thin">
        <x:color theme="0" tint="-0.49998"/>
      </x:right>
      <x:top style="thin">
        <x:color indexed="64"/>
      </x:top>
      <x:bottom style="thin">
        <x:color theme="0" tint="-0.49998"/>
      </x:bottom>
    </x:border>
    <x:border>
      <x:left style="thin">
        <x:color theme="1" tint="0.49998"/>
      </x:left>
      <x:right style="medium">
        <x:color theme="1" tint="0.49998"/>
      </x:right>
    </x:border>
    <x:border>
      <x:left style="medium">
        <x:color theme="1" tint="0.49998"/>
      </x:left>
      <x:right style="medium">
        <x:color theme="1" tint="0.49998"/>
      </x:right>
    </x:border>
    <x:border>
      <x:left style="thin">
        <x:color theme="0" tint="-0.49998"/>
      </x:left>
      <x:right style="thin">
        <x:color theme="0" tint="-0.49998"/>
      </x:right>
      <x:top style="thin">
        <x:color indexed="64"/>
      </x:top>
    </x:border>
    <x:border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  <x:top style="thin">
        <x:color theme="1" tint="0.49998"/>
      </x:top>
      <x:bottom style="thin">
        <x:color theme="0" tint="-0.49998"/>
      </x:bottom>
    </x:border>
    <x:border>
      <x:left style="medium">
        <x:color indexed="64"/>
      </x:left>
      <x:right style="thin">
        <x:color theme="0" tint="-0.49998"/>
      </x:right>
      <x:top style="thin">
        <x:color theme="0" tint="-0.49998"/>
      </x:top>
    </x:border>
    <x:border>
      <x:right style="medium">
        <x:color indexed="64"/>
      </x:right>
      <x:top style="thin">
        <x:color theme="0" tint="-0.49998"/>
      </x:top>
      <x:bottom style="thin">
        <x:color theme="0" tint="-0.49998"/>
      </x:bottom>
    </x:border>
    <x:border>
      <x:left style="medium">
        <x:color indexed="64"/>
      </x:left>
      <x:right style="thin">
        <x:color theme="0" tint="-0.49998"/>
      </x:right>
    </x:border>
    <x:border>
      <x:left style="medium">
        <x:color indexed="64"/>
      </x:left>
      <x:right style="thin">
        <x:color theme="0" tint="-0.49998"/>
      </x:right>
      <x:bottom style="thin">
        <x:color theme="0" tint="-0.49998"/>
      </x:bottom>
    </x:border>
    <x:border>
      <x:left style="medium">
        <x:color indexed="64"/>
      </x:left>
      <x:right style="thin">
        <x:color theme="1" tint="0.49998"/>
      </x:right>
      <x:top style="thin">
        <x:color theme="0" tint="-0.49998"/>
      </x:top>
      <x:bottom style="thin">
        <x:color theme="1" tint="0.49998"/>
      </x:bottom>
    </x:border>
    <x:border>
      <x:left style="medium">
        <x:color indexed="64"/>
      </x:left>
      <x:right style="thin">
        <x:color theme="1" tint="0.49998"/>
      </x:right>
      <x:top style="thin">
        <x:color theme="1" tint="0.49998"/>
      </x:top>
      <x:bottom style="thin">
        <x:color theme="1" tint="0.49998"/>
      </x:bottom>
    </x:border>
    <x:border>
      <x:left style="thin">
        <x:color theme="1" tint="0.49998"/>
      </x:left>
      <x:right style="medium">
        <x:color indexed="64"/>
      </x:right>
      <x:top style="thin">
        <x:color theme="1" tint="0.49998"/>
      </x:top>
      <x:bottom style="thin">
        <x:color theme="1" tint="0.49998"/>
      </x:bottom>
    </x:border>
    <x:border>
      <x:left style="medium">
        <x:color indexed="64"/>
      </x:left>
      <x:right style="thin">
        <x:color theme="0" tint="-0.49998"/>
      </x:right>
      <x:top style="thin">
        <x:color theme="1" tint="0.49998"/>
      </x:top>
    </x:border>
    <x:border>
      <x:left style="medium">
        <x:color indexed="64"/>
      </x:left>
      <x:right style="thin">
        <x:color theme="0" tint="-0.49998"/>
      </x:right>
      <x:bottom style="thin">
        <x:color theme="1" tint="0.49998"/>
      </x:bottom>
    </x:border>
    <x:border>
      <x:left style="medium">
        <x:color indexed="64"/>
      </x:left>
      <x:top style="thin">
        <x:color theme="1" tint="0.49998"/>
      </x:top>
      <x:bottom style="thin">
        <x:color theme="1" tint="0.49998"/>
      </x:bottom>
    </x:border>
    <x:border>
      <x:left style="medium">
        <x:color indexed="64"/>
      </x:left>
      <x:right style="thin">
        <x:color theme="0" tint="-0.49998"/>
      </x:right>
      <x:top style="thin">
        <x:color theme="1" tint="0.49998"/>
      </x:top>
      <x:bottom style="thin">
        <x:color theme="1" tint="0.49998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right style="thin">
        <x:color theme="0" tint="-0.49998"/>
      </x:right>
      <x:top style="thin">
        <x:color theme="1" tint="0.49998"/>
      </x:top>
      <x:bottom style="medium">
        <x:color indexed="64"/>
      </x:bottom>
    </x:border>
    <x:border>
      <x:left style="thin">
        <x:color theme="1" tint="0.49998"/>
      </x:left>
      <x:right style="thin">
        <x:color theme="1" tint="0.49998"/>
      </x:right>
      <x:top style="thin">
        <x:color theme="1" tint="0.49998"/>
      </x:top>
      <x:bottom style="medium">
        <x:color indexed="64"/>
      </x:bottom>
    </x:border>
    <x:border>
      <x:left style="thin">
        <x:color theme="1" tint="0.49998"/>
      </x:left>
      <x:right style="medium">
        <x:color indexed="64"/>
      </x:right>
      <x:top style="thin">
        <x:color theme="1" tint="0.49998"/>
      </x:top>
      <x:bottom style="medium">
        <x:color indexed="64"/>
      </x:bottom>
    </x:border>
    <x:border>
      <x:right style="thin">
        <x:color theme="1" tint="0.49998"/>
      </x:right>
    </x:border>
    <x:border>
      <x:left style="thin">
        <x:color theme="1" tint="0.49998"/>
      </x:left>
      <x:right style="thin">
        <x:color theme="0" tint="-0.49998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left style="thin">
        <x:color theme="0" tint="-0.49998"/>
      </x:left>
      <x:top style="thin">
        <x:color theme="0" tint="-0.49998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theme="0" tint="-0.49998"/>
      </x:bottom>
    </x:border>
    <x:border>
      <x:top style="medium">
        <x:color indexed="64"/>
      </x:top>
      <x:bottom style="thin">
        <x:color theme="0" tint="-0.49998"/>
      </x:bottom>
    </x:border>
    <x:border>
      <x:right style="medium">
        <x:color indexed="64"/>
      </x:right>
      <x:top style="medium">
        <x:color indexed="64"/>
      </x:top>
      <x:bottom style="thin">
        <x:color theme="0" tint="-0.49998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0" tint="-0.49998"/>
      </x:left>
      <x:right style="medium">
        <x:color indexed="64"/>
      </x:right>
      <x:top style="thin">
        <x:color indexed="64"/>
      </x:top>
      <x:bottom style="thin">
        <x:color theme="0" tint="-0.49998"/>
      </x:bottom>
    </x:border>
    <x:border>
      <x:right style="medium">
        <x:color indexed="64"/>
      </x:right>
      <x:top style="thin">
        <x:color theme="1" tint="0.49998"/>
      </x:top>
      <x:bottom style="thin">
        <x:color theme="0" tint="-0.49998"/>
      </x:bottom>
    </x:border>
    <x:border>
      <x:left style="thin">
        <x:color theme="0" tint="-0.49998"/>
      </x:left>
      <x:right style="medium">
        <x:color indexed="64"/>
      </x:right>
      <x:top style="thin">
        <x:color theme="0" tint="-0.49998"/>
      </x:top>
      <x:bottom style="thin">
        <x:color theme="0" tint="-0.49998"/>
      </x:bottom>
    </x:border>
    <x:border>
      <x:left style="medium">
        <x:color indexed="64"/>
      </x:left>
      <x:right style="thin">
        <x:color theme="1" tint="0.49998"/>
      </x:right>
      <x:top style="thin">
        <x:color theme="1" tint="0.49998"/>
      </x:top>
      <x:bottom style="medium">
        <x:color indexed="64"/>
      </x:bottom>
    </x:border>
    <x:border>
      <x:left style="thin">
        <x:color theme="1" tint="0.49998"/>
      </x:left>
      <x:top style="thin">
        <x:color theme="1" tint="0.49998"/>
      </x:top>
      <x:bottom style="medium">
        <x:color indexed="64"/>
      </x:bottom>
    </x:border>
    <x:border>
      <x:left style="thin">
        <x:color theme="0" tint="-0.49998"/>
      </x:left>
      <x:top style="thin">
        <x:color indexed="64"/>
      </x:top>
    </x:border>
    <x:border>
      <x:left style="thin">
        <x:color theme="0" tint="-0.49998"/>
      </x:left>
    </x:border>
    <x:border>
      <x:left style="thin">
        <x:color theme="0" tint="-0.49998"/>
      </x:left>
      <x:top style="thin">
        <x:color theme="1" tint="0.49998"/>
      </x:top>
      <x:bottom style="medium">
        <x:color indexed="64"/>
      </x:bottom>
    </x:border>
    <x:border>
      <x:left style="medium">
        <x:color rgb="FFFFFFFF"/>
      </x:left>
      <x:right style="medium">
        <x:color rgb="FFFFFFFF"/>
      </x:right>
      <x:top style="medium">
        <x:color rgb="FFFFFFFF"/>
      </x:top>
      <x:bottom style="medium">
        <x:color rgb="FFFFFFFF"/>
      </x:bottom>
    </x:border>
    <x:border>
      <x:left style="thin">
        <x:color theme="0" tint="-0.49998"/>
      </x:left>
      <x:top style="thin">
        <x:color theme="0" tint="-0.49998"/>
      </x:top>
    </x:border>
    <x:border>
      <x:left style="thin">
        <x:color theme="1" tint="0.49998"/>
      </x:left>
      <x:bottom style="thin">
        <x:color theme="1" tint="0.49998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right style="medium">
        <x:color indexed="64"/>
      </x:right>
      <x:bottom style="thin">
        <x:color theme="1" tint="0.49998"/>
      </x:bottom>
    </x:border>
    <x:border>
      <x:left style="medium">
        <x:color indexed="64"/>
      </x:left>
      <x:right style="medium">
        <x:color indexed="64"/>
      </x:right>
      <x:top style="thin">
        <x:color theme="1" tint="0.49998"/>
      </x:top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thin">
        <x:color theme="0" tint="-0.49998"/>
      </x:bottom>
    </x:border>
    <x:border>
      <x:left style="medium">
        <x:color indexed="64"/>
      </x:left>
      <x:right style="medium">
        <x:color indexed="64"/>
      </x:right>
      <x:top style="thin">
        <x:color theme="1" tint="0.49998"/>
      </x:top>
      <x:bottom style="thin">
        <x:color theme="1" tint="0.49998"/>
      </x:bottom>
    </x:border>
    <x:border>
      <x:left style="medium">
        <x:color indexed="64"/>
      </x:left>
      <x:right style="medium">
        <x:color indexed="64"/>
      </x:right>
      <x:top style="thin">
        <x:color theme="1" tint="0.49998"/>
      </x:top>
      <x:bottom style="medium">
        <x:color indexed="6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medium">
        <x:color rgb="FF004077"/>
      </x:left>
      <x:top style="medium">
        <x:color rgb="FF004077"/>
      </x:top>
      <x:bottom style="medium">
        <x:color rgb="FF004077"/>
      </x:bottom>
    </x:border>
    <x:border>
      <x:top style="medium">
        <x:color rgb="FF004077"/>
      </x:top>
      <x:bottom style="medium">
        <x:color rgb="FF004077"/>
      </x:bottom>
    </x:border>
    <x:border>
      <x:right style="medium">
        <x:color rgb="FF004077"/>
      </x:right>
      <x:top style="medium">
        <x:color rgb="FF004077"/>
      </x:top>
      <x:bottom style="medium">
        <x:color rgb="FF004077"/>
      </x:bottom>
    </x:border>
    <x:border>
      <x:left style="medium">
        <x:color rgb="FF004077"/>
      </x:left>
      <x:top style="medium">
        <x:color rgb="FF004077"/>
      </x:top>
    </x:border>
    <x:border>
      <x:top style="medium">
        <x:color rgb="FF004077"/>
      </x:top>
    </x:border>
    <x:border>
      <x:right style="medium">
        <x:color rgb="FF004077"/>
      </x:right>
      <x:top style="medium">
        <x:color rgb="FF004077"/>
      </x:top>
    </x:border>
    <x:border>
      <x:left style="medium">
        <x:color rgb="FF004077"/>
      </x:left>
      <x:bottom style="medium">
        <x:color rgb="FF004077"/>
      </x:bottom>
    </x:border>
    <x:border>
      <x:bottom style="medium">
        <x:color rgb="FF004077"/>
      </x:bottom>
    </x:border>
    <x:border>
      <x:right style="medium">
        <x:color rgb="FF004077"/>
      </x:right>
      <x:bottom style="medium">
        <x:color rgb="FF004077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  <x:border>
      <x:left style="medium">
        <x:color rgb="FF2F75B5"/>
      </x:left>
      <x:top style="medium">
        <x:color rgb="FF2F75B5"/>
      </x:top>
    </x:border>
    <x:border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bottom style="medium">
        <x:color rgb="FF2F75B5"/>
      </x:bottom>
    </x:border>
    <x:border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medium">
        <x:color rgb="FF548235"/>
      </x:left>
      <x:top style="medium">
        <x:color rgb="FF548235"/>
      </x:top>
      <x:bottom style="medium">
        <x:color rgb="FF548235"/>
      </x:bottom>
    </x:border>
    <x:border>
      <x:top style="medium">
        <x:color rgb="FF548235"/>
      </x:top>
      <x:bottom style="medium">
        <x:color rgb="FF548235"/>
      </x:bottom>
    </x:border>
    <x:border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left style="medium">
        <x:color rgb="FF548235"/>
      </x:left>
      <x:top style="medium">
        <x:color rgb="FF548235"/>
      </x:top>
    </x:border>
    <x:border>
      <x:top style="medium">
        <x:color rgb="FF548235"/>
      </x:top>
    </x:border>
    <x:border>
      <x:right style="medium">
        <x:color rgb="FF548235"/>
      </x:right>
      <x:top style="medium">
        <x:color rgb="FF548235"/>
      </x:top>
    </x:border>
    <x:border>
      <x:left style="medium">
        <x:color rgb="FF548235"/>
      </x:left>
      <x:bottom style="medium">
        <x:color rgb="FF548235"/>
      </x:bottom>
    </x:border>
    <x:border>
      <x:bottom style="medium">
        <x:color rgb="FF548235"/>
      </x:bottom>
    </x:border>
    <x:border>
      <x:right style="medium">
        <x:color rgb="FF548235"/>
      </x:right>
      <x:bottom style="medium">
        <x:color rgb="FF548235"/>
      </x:bottom>
    </x:border>
    <x:border>
      <x:left style="medium">
        <x:color rgb="FF00B0F0"/>
      </x:left>
      <x:top style="medium">
        <x:color rgb="FF00B0F0"/>
      </x:top>
      <x:bottom style="medium">
        <x:color rgb="FF00B0F0"/>
      </x:bottom>
    </x:border>
    <x:border>
      <x:top style="medium">
        <x:color rgb="FF00B0F0"/>
      </x:top>
      <x:bottom style="medium">
        <x:color rgb="FF00B0F0"/>
      </x:bottom>
    </x:border>
    <x:border>
      <x:right style="medium">
        <x:color rgb="FF00B0F0"/>
      </x:right>
      <x:top style="medium">
        <x:color rgb="FF00B0F0"/>
      </x:top>
      <x:bottom style="medium">
        <x:color rgb="FF00B0F0"/>
      </x:bottom>
    </x:border>
    <x:border>
      <x:left style="medium">
        <x:color rgb="FF00B0F0"/>
      </x:left>
      <x:top style="medium">
        <x:color rgb="FF00B0F0"/>
      </x:top>
    </x:border>
    <x:border>
      <x:top style="medium">
        <x:color rgb="FF00B0F0"/>
      </x:top>
    </x:border>
    <x:border>
      <x:right style="medium">
        <x:color rgb="FF00B0F0"/>
      </x:right>
      <x:top style="medium">
        <x:color rgb="FF00B0F0"/>
      </x:top>
    </x:border>
    <x:border>
      <x:left style="medium">
        <x:color rgb="FF00B0F0"/>
      </x:left>
      <x:bottom style="medium">
        <x:color rgb="FF00B0F0"/>
      </x:bottom>
    </x:border>
    <x:border>
      <x:bottom style="medium">
        <x:color rgb="FF00B0F0"/>
      </x:bottom>
    </x:border>
    <x:border>
      <x:right style="medium">
        <x:color rgb="FF00B0F0"/>
      </x:right>
      <x:bottom style="medium">
        <x:color rgb="FF00B0F0"/>
      </x:bottom>
    </x:border>
    <x:border>
      <x:left style="medium">
        <x:color rgb="FF595959"/>
      </x:left>
      <x:top style="medium">
        <x:color rgb="FF595959"/>
      </x:top>
      <x:bottom style="medium">
        <x:color rgb="FF595959"/>
      </x:bottom>
    </x:border>
    <x:border>
      <x:top style="medium">
        <x:color rgb="FF595959"/>
      </x:top>
      <x:bottom style="medium">
        <x:color rgb="FF595959"/>
      </x:bottom>
    </x:border>
    <x:border>
      <x:right style="medium">
        <x:color rgb="FF595959"/>
      </x:right>
      <x:top style="medium">
        <x:color rgb="FF595959"/>
      </x:top>
      <x:bottom style="medium">
        <x:color rgb="FF595959"/>
      </x:bottom>
    </x:border>
    <x:border>
      <x:left style="medium">
        <x:color rgb="FF595959"/>
      </x:left>
      <x:top style="medium">
        <x:color rgb="FF595959"/>
      </x:top>
    </x:border>
    <x:border>
      <x:top style="medium">
        <x:color rgb="FF595959"/>
      </x:top>
    </x:border>
    <x:border>
      <x:right style="medium">
        <x:color rgb="FF595959"/>
      </x:right>
      <x:top style="medium">
        <x:color rgb="FF595959"/>
      </x:top>
    </x:border>
    <x:border>
      <x:left style="medium">
        <x:color rgb="FF595959"/>
      </x:left>
      <x:bottom style="medium">
        <x:color rgb="FF595959"/>
      </x:bottom>
    </x:border>
    <x:border>
      <x:bottom style="medium">
        <x:color rgb="FF595959"/>
      </x:bottom>
    </x:border>
    <x:border>
      <x:right style="medium">
        <x:color rgb="FF595959"/>
      </x:right>
      <x:bottom style="medium">
        <x:color rgb="FF595959"/>
      </x:bottom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  <x:border>
      <x:left style="medium">
        <x:color rgb="FF70AD47"/>
      </x:left>
      <x:top style="medium">
        <x:color rgb="FF70AD47"/>
      </x:top>
    </x:border>
    <x:border>
      <x:top style="medium">
        <x:color rgb="FF70AD47"/>
      </x:top>
    </x:border>
    <x:border>
      <x:right style="medium">
        <x:color rgb="FF70AD47"/>
      </x:right>
      <x:top style="medium">
        <x:color rgb="FF70AD47"/>
      </x:top>
    </x:border>
    <x:border>
      <x:left style="medium">
        <x:color rgb="FF70AD47"/>
      </x:left>
      <x:bottom style="medium">
        <x:color rgb="FF70AD47"/>
      </x:bottom>
    </x:border>
    <x:border>
      <x:bottom style="medium">
        <x:color rgb="FF70AD47"/>
      </x:bottom>
    </x:border>
    <x:border>
      <x:right style="medium">
        <x:color rgb="FF70AD47"/>
      </x:right>
      <x:bottom style="medium">
        <x:color rgb="FF70AD47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70AD47"/>
      </x:left>
      <x:top style="thin">
        <x:color rgb="FF70AD47"/>
      </x:top>
      <x:bottom style="thin">
        <x:color rgb="FF70AD47"/>
      </x:bottom>
    </x:border>
    <x:border>
      <x:top style="thin">
        <x:color rgb="FF70AD47"/>
      </x:top>
      <x:bottom style="thin">
        <x:color rgb="FF70AD47"/>
      </x:bottom>
    </x:border>
    <x:border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C7D2DB"/>
      </x:left>
      <x:right style="thin">
        <x:color rgb="FFC7D2DB"/>
      </x:right>
      <x:top style="thin">
        <x:color rgb="FFC7D2DB"/>
      </x:top>
      <x:bottom style="thin">
        <x:color rgb="FFC7D2DB"/>
      </x:bottom>
    </x:border>
    <x:border>
      <x:bottom style="thin">
        <x:color rgb="FFC7D2DB"/>
      </x:bottom>
    </x:border>
    <x:border>
      <x:top style="thin">
        <x:color rgb="FFC7D2DB"/>
      </x:top>
      <x:bottom style="thin">
        <x:color rgb="FFC7D2DB"/>
      </x:bottom>
    </x:border>
    <x:border>
      <x:top style="medium">
        <x:color rgb="FF0B2B4C"/>
      </x:top>
      <x:bottom style="thin">
        <x:color rgb="FFC7D2DB"/>
      </x:bottom>
    </x:border>
    <x:border>
      <x:left style="thin">
        <x:color rgb="FFC7D2DB"/>
      </x:left>
      <x:top style="thin">
        <x:color rgb="FFC7D2DB"/>
      </x:top>
    </x:border>
    <x:border>
      <x:top style="thin">
        <x:color rgb="FFC7D2DB"/>
      </x:top>
    </x:border>
    <x:border>
      <x:right style="thin">
        <x:color rgb="FFC7D2DB"/>
      </x:right>
      <x:top style="thin">
        <x:color rgb="FFC7D2DB"/>
      </x:top>
    </x:border>
    <x:border>
      <x:left style="thin">
        <x:color rgb="FFC7D2DB"/>
      </x:left>
    </x:border>
    <x:border>
      <x:right style="thin">
        <x:color rgb="FFC7D2DB"/>
      </x:right>
    </x:border>
    <x:border>
      <x:left style="thin">
        <x:color rgb="FFC7D2DB"/>
      </x:left>
      <x:bottom style="thin">
        <x:color rgb="FFC7D2DB"/>
      </x:bottom>
    </x:border>
    <x:border>
      <x:right style="thin">
        <x:color rgb="FFC7D2DB"/>
      </x:right>
      <x:bottom style="thin">
        <x:color rgb="FFC7D2DB"/>
      </x:bottom>
    </x:border>
    <x:border>
      <x:left style="medium">
        <x:color rgb="FFE67E22"/>
      </x:left>
      <x:top style="medium">
        <x:color rgb="FFE67E22"/>
      </x:top>
    </x:border>
    <x:border>
      <x:top style="medium">
        <x:color rgb="FFE67E22"/>
      </x:top>
    </x:border>
    <x:border>
      <x:right style="medium">
        <x:color rgb="FFE67E22"/>
      </x:right>
      <x:top style="medium">
        <x:color rgb="FFE67E22"/>
      </x:top>
    </x:border>
    <x:border>
      <x:left style="medium">
        <x:color rgb="FFE67E22"/>
      </x:left>
    </x:border>
    <x:border>
      <x:right style="medium">
        <x:color rgb="FFE67E22"/>
      </x:right>
    </x:border>
    <x:border>
      <x:left style="medium">
        <x:color rgb="FFE67E22"/>
      </x:left>
      <x:bottom style="medium">
        <x:color rgb="FFE67E22"/>
      </x:bottom>
    </x:border>
    <x:border>
      <x:bottom style="medium">
        <x:color rgb="FFE67E22"/>
      </x:bottom>
    </x:border>
    <x:border>
      <x:right style="medium">
        <x:color rgb="FFE67E22"/>
      </x:right>
      <x:bottom style="medium">
        <x:color rgb="FFE67E22"/>
      </x:bottom>
    </x:border>
    <x:border>
      <x:left style="medium">
        <x:color rgb="FF0B2B4C"/>
      </x:left>
      <x:top style="medium">
        <x:color rgb="FF0B2B4C"/>
      </x:top>
    </x:border>
    <x:border>
      <x:top style="medium">
        <x:color rgb="FF0B2B4C"/>
      </x:top>
    </x:border>
    <x:border>
      <x:right style="medium">
        <x:color rgb="FF0B2B4C"/>
      </x:right>
      <x:top style="medium">
        <x:color rgb="FF0B2B4C"/>
      </x:top>
    </x:border>
    <x:border>
      <x:left style="medium">
        <x:color rgb="FF0B2B4C"/>
      </x:left>
    </x:border>
    <x:border>
      <x:right style="medium">
        <x:color rgb="FF0B2B4C"/>
      </x:right>
    </x:border>
    <x:border>
      <x:left style="medium">
        <x:color rgb="FF0B2B4C"/>
      </x:left>
      <x:bottom style="medium">
        <x:color rgb="FF0B2B4C"/>
      </x:bottom>
    </x:border>
    <x:border>
      <x:bottom style="medium">
        <x:color rgb="FF0B2B4C"/>
      </x:bottom>
    </x:border>
    <x:border>
      <x:right style="medium">
        <x:color rgb="FF0B2B4C"/>
      </x:right>
      <x:bottom style="medium">
        <x:color rgb="FF0B2B4C"/>
      </x:bottom>
    </x:border>
  </x:borders>
  <x:cellStyleXfs count="43">
    <x:xf numFmtId="0" fontId="0" fillId="0" borderId="0"/>
    <x:xf numFmtId="0" fontId="10" fillId="0" borderId="0"/>
    <x:xf numFmtId="0" fontId="10" fillId="0" borderId="0"/>
    <x:xf numFmtId="43" fontId="7" fillId="0" borderId="0" applyFont="0" applyFill="0" applyBorder="0" applyAlignment="0" applyProtection="0"/>
    <x:xf numFmtId="44" fontId="12" fillId="0" borderId="0" applyFont="0" applyFill="0" applyBorder="0" applyAlignment="0" applyProtection="0"/>
    <x:xf numFmtId="44" fontId="12" fillId="0" borderId="0" applyFont="0" applyFill="0" applyBorder="0" applyAlignment="0" applyProtection="0"/>
    <x:xf numFmtId="167" fontId="7" fillId="0" borderId="0" applyFont="0" applyFill="0" applyBorder="0" applyAlignment="0" applyProtection="0"/>
    <x:xf numFmtId="0" fontId="12" fillId="0" borderId="0"/>
    <x:xf numFmtId="0" fontId="13" fillId="0" borderId="0"/>
    <x:xf numFmtId="0" fontId="7" fillId="0" borderId="0"/>
    <x:xf numFmtId="0" fontId="12" fillId="0" borderId="0"/>
    <x:xf numFmtId="0" fontId="7" fillId="0" borderId="0"/>
    <x:xf numFmtId="0" fontId="13" fillId="0" borderId="0"/>
    <x:xf numFmtId="164" fontId="12" fillId="0" borderId="0" applyFont="0" applyFill="0" applyBorder="0" applyAlignment="0" applyProtection="0"/>
    <x:xf numFmtId="164" fontId="12" fillId="0" borderId="0" applyFont="0" applyFill="0" applyBorder="0" applyAlignment="0" applyProtection="0"/>
    <x:xf numFmtId="164" fontId="11" fillId="0" borderId="0" applyFont="0" applyFill="0" applyBorder="0" applyAlignment="0" applyProtection="0"/>
    <x:xf numFmtId="0" fontId="8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2" fillId="0" borderId="0"/>
    <x:xf numFmtId="0" fontId="11" fillId="0" borderId="0"/>
    <x:xf numFmtId="0" fontId="7" fillId="0" borderId="0"/>
    <x:xf numFmtId="0" fontId="8" fillId="0" borderId="0"/>
    <x:xf numFmtId="9" fontId="12" fillId="0" borderId="0" applyFont="0" applyFill="0" applyBorder="0" applyAlignment="0" applyProtection="0"/>
    <x:xf numFmtId="9" fontId="8" fillId="0" borderId="0" applyFont="0" applyFill="0" applyBorder="0" applyAlignment="0" applyProtection="0"/>
    <x:xf numFmtId="9" fontId="12" fillId="0" borderId="0" applyFont="0" applyFill="0" applyBorder="0" applyAlignment="0" applyProtection="0"/>
    <x:xf numFmtId="9" fontId="12" fillId="0" borderId="0" applyFont="0" applyFill="0" applyBorder="0" applyAlignment="0" applyProtection="0"/>
    <x:xf numFmtId="9" fontId="11" fillId="0" borderId="0" applyFont="0" applyFill="0" applyBorder="0" applyAlignment="0" applyProtection="0"/>
    <x:xf numFmtId="0" fontId="10" fillId="0" borderId="0"/>
    <x:xf numFmtId="165" fontId="11" fillId="0" borderId="0" applyFont="0" applyFill="0" applyBorder="0" applyAlignment="0" applyProtection="0"/>
    <x:xf numFmtId="165" fontId="7" fillId="0" borderId="0" applyFont="0" applyFill="0" applyBorder="0" applyAlignment="0" applyProtection="0"/>
    <x:xf numFmtId="164" fontId="11" fillId="0" borderId="0" applyFont="0" applyFill="0" applyBorder="0" applyAlignment="0" applyProtection="0"/>
    <x:xf numFmtId="0" fontId="6" fillId="0" borderId="0"/>
    <x:xf numFmtId="0" fontId="4" fillId="0" borderId="0"/>
    <x:xf numFmtId="164" fontId="4" fillId="0" borderId="0" applyFont="0" applyFill="0" applyBorder="0" applyAlignment="0" applyProtection="0"/>
    <x:xf numFmtId="0" fontId="4" fillId="0" borderId="0"/>
    <x:xf numFmtId="0" fontId="4" fillId="0" borderId="0"/>
    <x:xf numFmtId="9" fontId="4" fillId="0" borderId="0" applyFont="0" applyFill="0" applyBorder="0" applyAlignment="0" applyProtection="0"/>
  </x:cellStyleXfs>
  <x:cellXfs count="1739">
    <x:xf numFmtId="0" fontId="0" fillId="0" borderId="0" xfId="0"/>
    <x:xf numFmtId="0" fontId="15" fillId="0" borderId="0" xfId="17" applyFont="1" applyFill="1" applyBorder="1" applyAlignment="1"/>
    <x:xf numFmtId="164" fontId="0" fillId="0" borderId="0" xfId="0" applyNumberFormat="1"/>
    <x:xf numFmtId="0" fontId="0" fillId="0" borderId="0" xfId="0" applyFill="1"/>
    <x:xf numFmtId="168" fontId="0" fillId="0" borderId="0" xfId="0" applyNumberFormat="1"/>
    <x:xf numFmtId="0" fontId="0" fillId="2" borderId="0" xfId="0" applyFill="1" applyBorder="1"/>
    <x:xf numFmtId="0" fontId="0" fillId="0" borderId="0" xfId="0" applyAlignment="1">
      <x:alignment vertical="center"/>
    </x:xf>
    <x:xf numFmtId="0" fontId="0" fillId="0" borderId="0" xfId="0" applyAlignment="1">
      <x:alignment wrapText="1"/>
    </x:xf>
    <x:xf numFmtId="0" fontId="16" fillId="0" borderId="0" xfId="27" applyFont="1" applyFill="1" applyBorder="1" applyAlignment="1">
      <x:alignment horizontal="left" vertical="center" wrapText="1"/>
    </x:xf>
    <x:xf numFmtId="0" fontId="0" fillId="0" borderId="0" xfId="0" applyFill="1" applyBorder="1"/>
    <x:xf numFmtId="0" fontId="18" fillId="0" borderId="0" xfId="27" applyFont="1" applyFill="1" applyBorder="1" applyAlignment="1">
      <x:alignment horizontal="center" vertical="center" wrapText="1"/>
    </x:xf>
    <x:xf numFmtId="168" fontId="0" fillId="0" borderId="0" xfId="0" applyNumberFormat="1" applyFill="1" applyBorder="1"/>
    <x:xf numFmtId="168" fontId="0" fillId="0" borderId="0" xfId="0" applyNumberFormat="1" applyFill="1" applyBorder="1" applyAlignment="1">
      <x:alignment vertical="center"/>
    </x:xf>
    <x:xf numFmtId="166" fontId="0" fillId="0" borderId="0" xfId="0" applyNumberFormat="1" applyFill="1" applyBorder="1"/>
    <x:xf numFmtId="168" fontId="0" fillId="0" borderId="0" xfId="0" applyNumberFormat="1" applyFill="1" applyBorder="1" applyAlignment="1">
      <x:alignment vertical="center" wrapText="1"/>
    </x:xf>
    <x:xf numFmtId="0" fontId="0" fillId="0" borderId="0" xfId="0" applyNumberFormat="1" applyFill="1" applyBorder="1" applyAlignment="1">
      <x:alignment vertical="center" wrapText="1"/>
    </x:xf>
    <x:xf numFmtId="0" fontId="0" fillId="0" borderId="0" xfId="0" applyFill="1" applyBorder="1" applyAlignment="1">
      <x:alignment vertical="center"/>
    </x:xf>
    <x:xf numFmtId="0" fontId="9" fillId="5" borderId="6" xfId="27" applyFont="1" applyFill="1" applyBorder="1" applyAlignment="1">
      <x:alignment horizontal="left" vertical="center" wrapText="1"/>
    </x:xf>
    <x:xf numFmtId="169" fontId="9" fillId="5" borderId="6" xfId="27" applyNumberFormat="1" applyFont="1" applyFill="1" applyBorder="1" applyAlignment="1">
      <x:alignment horizontal="right" vertical="center" wrapText="1"/>
    </x:xf>
    <x:xf numFmtId="0" fontId="9" fillId="6" borderId="8" xfId="27" applyFont="1" applyFill="1" applyBorder="1" applyAlignment="1">
      <x:alignment horizontal="center" vertical="center" wrapText="1"/>
    </x:xf>
    <x:xf numFmtId="169" fontId="9" fillId="5" borderId="9" xfId="27" applyNumberFormat="1" applyFont="1" applyFill="1" applyBorder="1" applyAlignment="1">
      <x:alignment horizontal="right" vertical="center" wrapText="1"/>
    </x:xf>
    <x:xf numFmtId="0" fontId="9" fillId="6" borderId="10" xfId="27" applyFont="1" applyFill="1" applyBorder="1" applyAlignment="1">
      <x:alignment horizontal="center" vertical="center" wrapText="1"/>
    </x:xf>
    <x:xf numFmtId="0" fontId="9" fillId="6" borderId="12" xfId="27" applyFont="1" applyFill="1" applyBorder="1" applyAlignment="1">
      <x:alignment horizontal="center" vertical="center" wrapText="1"/>
    </x:xf>
    <x:xf numFmtId="0" fontId="9" fillId="5" borderId="11" xfId="27" applyFont="1" applyFill="1" applyBorder="1" applyAlignment="1">
      <x:alignment horizontal="left" vertical="center" wrapText="1"/>
    </x:xf>
    <x:xf numFmtId="169" fontId="9" fillId="5" borderId="0" xfId="27" applyNumberFormat="1" applyFont="1" applyFill="1" applyBorder="1" applyAlignment="1">
      <x:alignment horizontal="right" vertical="center" wrapText="1"/>
    </x:xf>
    <x:xf numFmtId="0" fontId="9" fillId="5" borderId="12" xfId="27" applyFont="1" applyFill="1" applyBorder="1" applyAlignment="1">
      <x:alignment horizontal="left" vertical="center" wrapText="1"/>
    </x:xf>
    <x:xf numFmtId="0" fontId="0" fillId="0" borderId="12" xfId="0" applyBorder="1"/>
    <x:xf numFmtId="0" fontId="0" fillId="4" borderId="12" xfId="0" applyFill="1" applyBorder="1"/>
    <x:xf numFmtId="0" fontId="0" fillId="0" borderId="13" xfId="0" applyBorder="1"/>
    <x:xf numFmtId="4" fontId="0" fillId="4" borderId="13" xfId="0" applyNumberFormat="1" applyFill="1" applyBorder="1"/>
    <x:xf numFmtId="4" fontId="0" fillId="3" borderId="13" xfId="0" applyNumberFormat="1" applyFill="1" applyBorder="1" applyAlignment="1">
      <x:alignment horizontal="center" vertical="center"/>
    </x:xf>
    <x:xf numFmtId="0" fontId="0" fillId="4" borderId="13" xfId="0" applyFill="1" applyBorder="1"/>
    <x:xf numFmtId="0" fontId="19" fillId="0" borderId="21" xfId="0" applyFont="1" applyBorder="1" applyAlignment="1">
      <x:alignment horizontal="right" vertical="center" wrapText="1"/>
    </x:xf>
    <x:xf numFmtId="0" fontId="19" fillId="4" borderId="21" xfId="0" applyFont="1" applyFill="1" applyBorder="1" applyAlignment="1">
      <x:alignment horizontal="left" vertical="center" wrapText="1"/>
    </x:xf>
    <x:xf numFmtId="0" fontId="0" fillId="4" borderId="21" xfId="0" applyFill="1" applyBorder="1" applyAlignment="1">
      <x:alignment horizontal="center" vertical="center" wrapText="1"/>
    </x:xf>
    <x:xf numFmtId="0" fontId="14" fillId="4" borderId="20" xfId="0" applyFont="1" applyFill="1" applyBorder="1" applyAlignment="1">
      <x:alignment horizontal="center" vertical="center" wrapText="1"/>
    </x:xf>
    <x:xf numFmtId="49" fontId="19" fillId="0" borderId="18" xfId="0" applyNumberFormat="1" applyFont="1" applyBorder="1" applyAlignment="1">
      <x:alignment horizontal="right" vertical="center"/>
    </x:xf>
    <x:xf numFmtId="49" fontId="19" fillId="0" borderId="18" xfId="0" applyNumberFormat="1" applyFont="1" applyBorder="1" applyAlignment="1">
      <x:alignment horizontal="right"/>
    </x:xf>
    <x:xf numFmtId="0" fontId="0" fillId="4" borderId="18" xfId="0" applyFill="1" applyBorder="1" applyAlignment="1">
      <x:alignment vertical="center" wrapText="1"/>
    </x:xf>
    <x:xf numFmtId="0" fontId="0" fillId="0" borderId="0" xfId="0" applyFill="1" applyBorder="1" applyAlignment="1">
      <x:alignment wrapText="1"/>
    </x:xf>
    <x:xf numFmtId="0" fontId="14" fillId="0" borderId="0" xfId="0" applyFont="1" applyFill="1" applyBorder="1" applyAlignment="1">
      <x:alignment horizontal="center"/>
    </x:xf>
    <x:xf numFmtId="0" fontId="9" fillId="6" borderId="28" xfId="27" applyFont="1" applyFill="1" applyBorder="1" applyAlignment="1">
      <x:alignment horizontal="center" vertical="center" wrapText="1"/>
    </x:xf>
    <x:xf numFmtId="0" fontId="5" fillId="3" borderId="33" xfId="0" applyFont="1" applyFill="1" applyBorder="1" applyAlignment="1">
      <x:alignment horizontal="center" vertical="center" wrapText="1"/>
    </x:xf>
    <x:xf numFmtId="4" fontId="0" fillId="3" borderId="34" xfId="0" applyNumberFormat="1" applyFill="1" applyBorder="1" applyAlignment="1">
      <x:alignment horizontal="center" vertical="center"/>
    </x:xf>
    <x:xf numFmtId="4" fontId="0" fillId="3" borderId="39" xfId="0" applyNumberFormat="1" applyFill="1" applyBorder="1" applyAlignment="1">
      <x:alignment horizontal="center" vertical="center"/>
    </x:xf>
    <x:xf numFmtId="0" fontId="0" fillId="0" borderId="23" xfId="0" applyBorder="1"/>
    <x:xf numFmtId="0" fontId="5" fillId="0" borderId="13" xfId="0" applyFont="1" applyBorder="1"/>
    <x:xf numFmtId="4" fontId="0" fillId="0" borderId="40" xfId="0" applyNumberFormat="1" applyFill="1" applyBorder="1" applyAlignment="1">
      <x:alignment horizontal="center" vertical="center"/>
    </x:xf>
    <x:xf numFmtId="0" fontId="0" fillId="0" borderId="24" xfId="0" applyBorder="1"/>
    <x:xf numFmtId="0" fontId="0" fillId="0" borderId="41" xfId="0" applyBorder="1"/>
    <x:xf numFmtId="0" fontId="5" fillId="0" borderId="43" xfId="0" applyFont="1" applyBorder="1"/>
    <x:xf numFmtId="10" fontId="0" fillId="0" borderId="44" xfId="0" applyNumberFormat="1" applyFill="1" applyBorder="1" applyAlignment="1">
      <x:alignment horizontal="center" vertical="center"/>
    </x:xf>
    <x:xf numFmtId="10" fontId="0" fillId="0" borderId="45" xfId="0" applyNumberFormat="1" applyFill="1" applyBorder="1" applyAlignment="1">
      <x:alignment horizontal="center" vertical="center"/>
    </x:xf>
    <x:xf numFmtId="4" fontId="0" fillId="3" borderId="49" xfId="0" applyNumberFormat="1" applyFill="1" applyBorder="1" applyAlignment="1">
      <x:alignment horizontal="center" vertical="center"/>
    </x:xf>
    <x:xf numFmtId="0" fontId="0" fillId="0" borderId="51" xfId="0" applyBorder="1"/>
    <x:xf numFmtId="0" fontId="0" fillId="4" borderId="23" xfId="0" applyFill="1" applyBorder="1"/>
    <x:xf numFmtId="0" fontId="5" fillId="4" borderId="13" xfId="0" applyFont="1" applyFill="1" applyBorder="1"/>
    <x:xf numFmtId="0" fontId="5" fillId="4" borderId="46" xfId="0" applyFont="1" applyFill="1" applyBorder="1"/>
    <x:xf numFmtId="0" fontId="5" fillId="4" borderId="10" xfId="0" applyFont="1" applyFill="1" applyBorder="1"/>
    <x:xf numFmtId="0" fontId="5" fillId="4" borderId="52" xfId="0" applyFont="1" applyFill="1" applyBorder="1"/>
    <x:xf numFmtId="0" fontId="5" fillId="4" borderId="53" xfId="0" applyFont="1" applyFill="1" applyBorder="1"/>
    <x:xf numFmtId="0" fontId="0" fillId="4" borderId="11" xfId="0" applyFill="1" applyBorder="1" applyAlignment="1">
      <x:alignment vertical="center" wrapText="1"/>
    </x:xf>
    <x:xf numFmtId="0" fontId="14" fillId="4" borderId="54" xfId="0" applyFont="1" applyFill="1" applyBorder="1" applyAlignment="1">
      <x:alignment horizontal="left" vertical="center" wrapText="1"/>
    </x:xf>
    <x:xf numFmtId="0" fontId="0" fillId="4" borderId="54" xfId="0" applyFill="1" applyBorder="1"/>
    <x:xf numFmtId="0" fontId="0" fillId="4" borderId="55" xfId="0" applyFill="1" applyBorder="1"/>
    <x:xf numFmtId="0" fontId="0" fillId="4" borderId="11" xfId="0" applyFill="1" applyBorder="1"/>
    <x:xf numFmtId="170" fontId="9" fillId="5" borderId="5" xfId="36" applyNumberFormat="1" applyFont="1" applyFill="1" applyBorder="1" applyAlignment="1">
      <x:alignment horizontal="right"/>
    </x:xf>
    <x:xf numFmtId="170" fontId="7" fillId="0" borderId="3" xfId="36" applyNumberFormat="1" applyFont="1" applyFill="1" applyBorder="1" applyAlignment="1">
      <x:alignment horizontal="right"/>
    </x:xf>
    <x:xf numFmtId="170" fontId="9" fillId="5" borderId="10" xfId="27" applyNumberFormat="1" applyFont="1" applyFill="1" applyBorder="1" applyAlignment="1">
      <x:alignment horizontal="right" vertical="center" wrapText="1"/>
    </x:xf>
    <x:xf numFmtId="170" fontId="9" fillId="5" borderId="13" xfId="27" applyNumberFormat="1" applyFont="1" applyFill="1" applyBorder="1" applyAlignment="1">
      <x:alignment horizontal="right" vertical="center" wrapText="1"/>
    </x:xf>
    <x:xf numFmtId="170" fontId="7" fillId="0" borderId="12" xfId="36" applyNumberFormat="1" applyFont="1" applyFill="1" applyBorder="1" applyAlignment="1">
      <x:alignment horizontal="right"/>
    </x:xf>
    <x:xf numFmtId="170" fontId="9" fillId="5" borderId="12" xfId="36" applyNumberFormat="1" applyFont="1" applyFill="1" applyBorder="1" applyAlignment="1">
      <x:alignment horizontal="right"/>
    </x:xf>
    <x:xf numFmtId="170" fontId="9" fillId="5" borderId="12" xfId="36" applyNumberFormat="1" applyFont="1" applyFill="1" applyBorder="1" applyAlignment="1">
      <x:alignment horizontal="right" wrapText="1"/>
    </x:xf>
    <x:xf numFmtId="170" fontId="9" fillId="6" borderId="7" xfId="36" applyNumberFormat="1" applyFont="1" applyFill="1" applyBorder="1" applyAlignment="1">
      <x:alignment horizontal="right" wrapText="1"/>
    </x:xf>
    <x:xf numFmtId="170" fontId="9" fillId="6" borderId="7" xfId="36" applyNumberFormat="1" applyFont="1" applyFill="1" applyBorder="1" applyAlignment="1">
      <x:alignment horizontal="right"/>
    </x:xf>
    <x:xf numFmtId="170" fontId="9" fillId="6" borderId="3" xfId="36" applyNumberFormat="1" applyFont="1" applyFill="1" applyBorder="1" applyAlignment="1">
      <x:alignment horizontal="right" vertical="center"/>
    </x:xf>
    <x:xf numFmtId="0" fontId="0" fillId="0" borderId="17" xfId="0" applyBorder="1" applyAlignment="1">
      <x:alignment horizontal="center"/>
    </x:xf>
    <x:xf numFmtId="0" fontId="14" fillId="2" borderId="0" xfId="0" applyFont="1" applyFill="1"/>
    <x:xf numFmtId="0" fontId="0" fillId="2" borderId="0" xfId="0" applyFill="1"/>
    <x:xf numFmtId="0" fontId="0" fillId="2" borderId="1" xfId="0" applyFill="1" applyBorder="1"/>
    <x:xf numFmtId="0" fontId="7" fillId="2" borderId="0" xfId="37" applyFont="1" applyFill="1"/>
    <x:xf numFmtId="170" fontId="7" fillId="2" borderId="0" xfId="37" applyNumberFormat="1" applyFont="1" applyFill="1" applyAlignment="1">
      <x:alignment horizontal="right"/>
    </x:xf>
    <x:xf numFmtId="0" fontId="16" fillId="2" borderId="6" xfId="27" applyFont="1" applyFill="1" applyBorder="1" applyAlignment="1">
      <x:alignment horizontal="left" vertical="center" wrapText="1"/>
    </x:xf>
    <x:xf numFmtId="170" fontId="9" fillId="2" borderId="6" xfId="36" applyNumberFormat="1" applyFont="1" applyFill="1" applyBorder="1" applyAlignment="1">
      <x:alignment horizontal="right" wrapText="1"/>
    </x:xf>
    <x:xf numFmtId="170" fontId="9" fillId="2" borderId="6" xfId="36" applyNumberFormat="1" applyFont="1" applyFill="1" applyBorder="1" applyAlignment="1">
      <x:alignment horizontal="right"/>
    </x:xf>
    <x:xf numFmtId="170" fontId="7" fillId="2" borderId="0" xfId="36" applyNumberFormat="1" applyFont="1" applyFill="1" applyBorder="1" applyAlignment="1">
      <x:alignment horizontal="right"/>
    </x:xf>
    <x:xf numFmtId="170" fontId="20" fillId="2" borderId="0" xfId="0" applyNumberFormat="1" applyFont="1" applyFill="1" applyAlignment="1">
      <x:alignment horizontal="right"/>
    </x:xf>
    <x:xf numFmtId="0" fontId="23" fillId="2" borderId="0" xfId="0" applyFont="1" applyFill="1" applyAlignment="1">
      <x:alignment horizontal="left" vertical="center"/>
    </x:xf>
    <x:xf numFmtId="0" fontId="0" fillId="2" borderId="0" xfId="0" applyFill="1" applyAlignment="1">
      <x:alignment vertical="center" wrapText="1"/>
    </x:xf>
    <x:xf numFmtId="0" fontId="0" fillId="2" borderId="22" xfId="0" applyFill="1" applyBorder="1"/>
    <x:xf numFmtId="4" fontId="0" fillId="2" borderId="0" xfId="0" applyNumberFormat="1" applyFill="1"/>
    <x:xf numFmtId="0" fontId="25" fillId="2" borderId="0" xfId="0" applyFont="1" applyFill="1"/>
    <x:xf numFmtId="0" fontId="5" fillId="2" borderId="0" xfId="0" applyFont="1" applyFill="1"/>
    <x:xf numFmtId="0" fontId="22" fillId="2" borderId="0" xfId="0" applyFont="1" applyFill="1"/>
    <x:xf numFmtId="0" fontId="21" fillId="0" borderId="0" xfId="0" applyFont="1" applyFill="1" applyBorder="1" applyAlignment="1">
      <x:alignment horizontal="left" vertical="center" wrapText="1"/>
    </x:xf>
    <x:xf numFmtId="0" fontId="14" fillId="0" borderId="0" xfId="0" applyFont="1" applyFill="1" applyBorder="1" applyAlignment="1">
      <x:alignment horizontal="center" vertical="center" wrapText="1"/>
    </x:xf>
    <x:xf numFmtId="0" fontId="17" fillId="10" borderId="4" xfId="27" applyFont="1" applyFill="1" applyBorder="1" applyAlignment="1">
      <x:alignment horizontal="left" vertical="center"/>
    </x:xf>
    <x:xf numFmtId="0" fontId="17" fillId="10" borderId="3" xfId="27" applyFont="1" applyFill="1" applyBorder="1" applyAlignment="1">
      <x:alignment horizontal="left" vertical="center"/>
    </x:xf>
    <x:xf numFmtId="0" fontId="16" fillId="10" borderId="3" xfId="27" applyFont="1" applyFill="1" applyBorder="1" applyAlignment="1">
      <x:alignment horizontal="left" vertical="center" wrapText="1"/>
    </x:xf>
    <x:xf numFmtId="0" fontId="17" fillId="10" borderId="14" xfId="27" applyFont="1" applyFill="1" applyBorder="1" applyAlignment="1">
      <x:alignment horizontal="left" vertical="center"/>
    </x:xf>
    <x:xf numFmtId="0" fontId="17" fillId="10" borderId="15" xfId="27" applyFont="1" applyFill="1" applyBorder="1" applyAlignment="1">
      <x:alignment horizontal="left" vertical="center"/>
    </x:xf>
    <x:xf numFmtId="0" fontId="17" fillId="10" borderId="12" xfId="27" applyFont="1" applyFill="1" applyBorder="1" applyAlignment="1">
      <x:alignment horizontal="left" vertical="center"/>
    </x:xf>
    <x:xf numFmtId="0" fontId="16" fillId="10" borderId="16" xfId="27" applyFont="1" applyFill="1" applyBorder="1" applyAlignment="1">
      <x:alignment horizontal="left" vertical="center" wrapText="1"/>
    </x:xf>
    <x:xf numFmtId="0" fontId="16" fillId="10" borderId="7" xfId="27" applyFont="1" applyFill="1" applyBorder="1" applyAlignment="1">
      <x:alignment horizontal="left" vertical="center" wrapText="1"/>
    </x:xf>
    <x:xf numFmtId="0" fontId="18" fillId="10" borderId="0" xfId="27" applyFont="1" applyFill="1" applyBorder="1" applyAlignment="1">
      <x:alignment horizontal="left" vertical="center"/>
    </x:xf>
    <x:xf numFmtId="9" fontId="18" fillId="10" borderId="0" xfId="28" applyFont="1" applyFill="1" applyBorder="1" applyAlignment="1">
      <x:alignment horizontal="center" vertical="center" wrapText="1"/>
    </x:xf>
    <x:xf numFmtId="0" fontId="21" fillId="11" borderId="0" xfId="0" applyFont="1" applyFill="1" applyBorder="1" applyAlignment="1">
      <x:alignment horizontal="left" vertical="center" wrapText="1"/>
    </x:xf>
    <x:xf numFmtId="168" fontId="0" fillId="0" borderId="34" xfId="0" applyNumberFormat="1" applyBorder="1"/>
    <x:xf numFmtId="168" fontId="0" fillId="0" borderId="34" xfId="0" applyNumberFormat="1" applyBorder="1" applyAlignment="1">
      <x:alignment vertical="center"/>
    </x:xf>
    <x:xf numFmtId="168" fontId="0" fillId="0" borderId="34" xfId="0" applyNumberFormat="1" applyFill="1" applyBorder="1" applyAlignment="1">
      <x:alignment vertical="center"/>
    </x:xf>
    <x:xf numFmtId="0" fontId="0" fillId="0" borderId="34" xfId="0" applyBorder="1" applyAlignment="1">
      <x:alignment vertical="center"/>
    </x:xf>
    <x:xf numFmtId="2" fontId="0" fillId="0" borderId="34" xfId="0" applyNumberFormat="1" applyBorder="1" applyAlignment="1">
      <x:alignment vertical="center"/>
    </x:xf>
    <x:xf numFmtId="2" fontId="0" fillId="0" borderId="34" xfId="0" applyNumberFormat="1" applyBorder="1"/>
    <x:xf numFmtId="0" fontId="17" fillId="10" borderId="34" xfId="27" applyFont="1" applyFill="1" applyBorder="1" applyAlignment="1">
      <x:alignment horizontal="left" vertical="center"/>
    </x:xf>
    <x:xf numFmtId="166" fontId="0" fillId="0" borderId="34" xfId="0" applyNumberFormat="1" applyBorder="1"/>
    <x:xf numFmtId="168" fontId="0" fillId="7" borderId="34" xfId="0" applyNumberFormat="1" applyFill="1" applyBorder="1"/>
    <x:xf numFmtId="0" fontId="17" fillId="10" borderId="56" xfId="27" applyFont="1" applyFill="1" applyBorder="1" applyAlignment="1">
      <x:alignment horizontal="left" vertical="center"/>
    </x:xf>
    <x:xf numFmtId="0" fontId="17" fillId="10" borderId="57" xfId="27" applyFont="1" applyFill="1" applyBorder="1" applyAlignment="1">
      <x:alignment horizontal="left" vertical="center"/>
    </x:xf>
    <x:xf numFmtId="0" fontId="17" fillId="10" borderId="39" xfId="27" applyFont="1" applyFill="1" applyBorder="1" applyAlignment="1">
      <x:alignment horizontal="left" vertical="center"/>
    </x:xf>
    <x:xf numFmtId="0" fontId="18" fillId="10" borderId="39" xfId="27" applyFont="1" applyFill="1" applyBorder="1" applyAlignment="1">
      <x:alignment horizontal="left" vertical="center"/>
    </x:xf>
    <x:xf numFmtId="0" fontId="17" fillId="10" borderId="34" xfId="27" applyFont="1" applyFill="1" applyBorder="1" applyAlignment="1">
      <x:alignment vertical="center" wrapText="1"/>
    </x:xf>
    <x:xf numFmtId="0" fontId="23" fillId="0" borderId="0" xfId="0" applyFont="1"/>
    <x:xf numFmtId="10" fontId="0" fillId="0" borderId="0" xfId="0" applyNumberFormat="1"/>
    <x:xf numFmtId="0" fontId="24" fillId="8" borderId="27" xfId="0" applyFont="1" applyFill="1" applyBorder="1" applyAlignment="1">
      <x:alignment horizontal="center" vertical="center" wrapText="1"/>
    </x:xf>
    <x:xf numFmtId="10" fontId="24" fillId="8" borderId="27" xfId="0" applyNumberFormat="1" applyFont="1" applyFill="1" applyBorder="1" applyAlignment="1">
      <x:alignment horizontal="center" vertical="center" wrapText="1"/>
    </x:xf>
    <x:xf numFmtId="0" fontId="24" fillId="9" borderId="27" xfId="0" applyFont="1" applyFill="1" applyBorder="1" applyAlignment="1">
      <x:alignment horizontal="left" vertical="center" wrapText="1"/>
    </x:xf>
    <x:xf numFmtId="0" fontId="0" fillId="3" borderId="64" xfId="0" applyFill="1" applyBorder="1" applyAlignment="1">
      <x:alignment horizontal="center" vertical="center"/>
    </x:xf>
    <x:xf numFmtId="0" fontId="0" fillId="12" borderId="65" xfId="0" applyFill="1" applyBorder="1" applyAlignment="1">
      <x:alignment horizontal="center" vertical="center"/>
    </x:xf>
    <x:xf numFmtId="10" fontId="0" fillId="0" borderId="66" xfId="0" applyNumberFormat="1" applyFill="1" applyBorder="1" applyAlignment="1">
      <x:alignment horizontal="center" vertical="center"/>
    </x:xf>
    <x:xf numFmtId="0" fontId="0" fillId="3" borderId="67" xfId="0" applyFill="1" applyBorder="1" applyAlignment="1">
      <x:alignment horizontal="center" vertical="center"/>
    </x:xf>
    <x:xf numFmtId="0" fontId="0" fillId="3" borderId="68" xfId="0" applyFill="1" applyBorder="1" applyAlignment="1">
      <x:alignment horizontal="center" vertical="center"/>
    </x:xf>
    <x:xf numFmtId="0" fontId="0" fillId="12" borderId="69" xfId="0" applyFill="1" applyBorder="1" applyAlignment="1">
      <x:alignment horizontal="center" vertical="center"/>
    </x:xf>
    <x:xf numFmtId="10" fontId="0" fillId="0" borderId="70" xfId="0" applyNumberFormat="1" applyFill="1" applyBorder="1" applyAlignment="1">
      <x:alignment horizontal="center" vertical="center"/>
    </x:xf>
    <x:xf numFmtId="0" fontId="0" fillId="3" borderId="71" xfId="0" applyFill="1" applyBorder="1" applyAlignment="1">
      <x:alignment horizontal="center" vertical="center"/>
    </x:xf>
    <x:xf numFmtId="0" fontId="0" fillId="12" borderId="72" xfId="0" applyFill="1" applyBorder="1" applyAlignment="1">
      <x:alignment horizontal="center" vertical="center"/>
    </x:xf>
    <x:xf numFmtId="10" fontId="0" fillId="0" borderId="73" xfId="0" applyNumberFormat="1" applyFill="1" applyBorder="1" applyAlignment="1">
      <x:alignment horizontal="center" vertical="center"/>
    </x:xf>
    <x:xf numFmtId="0" fontId="0" fillId="3" borderId="74" xfId="0" applyFill="1" applyBorder="1" applyAlignment="1">
      <x:alignment horizontal="center" vertical="center"/>
    </x:xf>
    <x:xf numFmtId="0" fontId="0" fillId="12" borderId="75" xfId="0" applyFill="1" applyBorder="1" applyAlignment="1">
      <x:alignment horizontal="center" vertical="center"/>
    </x:xf>
    <x:xf numFmtId="10" fontId="0" fillId="0" borderId="76" xfId="0" applyNumberFormat="1" applyFill="1" applyBorder="1" applyAlignment="1">
      <x:alignment horizontal="center" vertical="center"/>
    </x:xf>
    <x:xf numFmtId="0" fontId="24" fillId="9" borderId="27" xfId="0" applyFont="1" applyFill="1" applyBorder="1" applyAlignment="1">
      <x:alignment horizontal="left" vertical="center" wrapText="1"/>
    </x:xf>
    <x:xf numFmtId="0" fontId="0" fillId="3" borderId="85" xfId="0" applyFill="1" applyBorder="1" applyAlignment="1">
      <x:alignment horizontal="center" vertical="center"/>
    </x:xf>
    <x:xf numFmtId="0" fontId="0" fillId="0" borderId="0" xfId="0" applyBorder="1"/>
    <x:xf numFmtId="10" fontId="0" fillId="0" borderId="0" xfId="0" applyNumberFormat="1" applyBorder="1"/>
    <x:xf numFmtId="0" fontId="0" fillId="0" borderId="91" xfId="0" applyBorder="1"/>
    <x:xf numFmtId="10" fontId="0" fillId="0" borderId="91" xfId="0" applyNumberFormat="1" applyBorder="1"/>
    <x:xf numFmtId="0" fontId="14" fillId="0" borderId="0" xfId="0" applyFont="1" applyFill="1" applyBorder="1" applyAlignment="1">
      <x:alignment horizontal="left" wrapText="1"/>
    </x:xf>
    <x:xf numFmtId="0" fontId="30" fillId="0" borderId="0" xfId="0" applyFont="1"/>
    <x:xf numFmtId="0" fontId="14" fillId="0" borderId="0" xfId="0" applyFont="1"/>
    <x:xf numFmtId="0" fontId="27" fillId="6" borderId="34" xfId="27" applyFont="1" applyFill="1" applyBorder="1" applyAlignment="1">
      <x:alignment horizontal="center" vertical="center" wrapText="1"/>
    </x:xf>
    <x:xf numFmtId="0" fontId="19" fillId="0" borderId="46" xfId="0" applyFont="1" applyBorder="1" applyAlignment="1">
      <x:alignment horizontal="right" vertical="center" wrapText="1"/>
    </x:xf>
    <x:xf numFmtId="0" fontId="19" fillId="0" borderId="42" xfId="0" applyFont="1" applyBorder="1" applyAlignment="1">
      <x:alignment horizontal="right" vertical="center" wrapText="1"/>
    </x:xf>
    <x:xf numFmtId="0" fontId="14" fillId="0" borderId="0" xfId="0" applyFont="1" applyFill="1" applyBorder="1" applyAlignment="1">
      <x:alignment vertical="center" wrapText="1"/>
    </x:xf>
    <x:xf numFmtId="9" fontId="16" fillId="10" borderId="0" xfId="28" applyFont="1" applyFill="1" applyBorder="1" applyAlignment="1">
      <x:alignment horizontal="center" vertical="center" wrapText="1"/>
    </x:xf>
    <x:xf numFmtId="170" fontId="0" fillId="2" borderId="0" xfId="0" applyNumberFormat="1" applyFill="1"/>
    <x:xf numFmtId="0" fontId="17" fillId="13" borderId="57" xfId="27" applyFont="1" applyFill="1" applyBorder="1" applyAlignment="1">
      <x:alignment horizontal="left" vertical="center"/>
    </x:xf>
    <x:xf numFmtId="168" fontId="0" fillId="14" borderId="34" xfId="0" applyNumberFormat="1" applyFill="1" applyBorder="1" applyAlignment="1">
      <x:alignment vertical="center"/>
    </x:xf>
    <x:xf numFmtId="0" fontId="36" fillId="10" borderId="12" xfId="27" applyFont="1" applyFill="1" applyBorder="1" applyAlignment="1">
      <x:alignment horizontal="right" vertical="center"/>
    </x:xf>
    <x:xf numFmtId="170" fontId="9" fillId="6" borderId="3" xfId="36" applyNumberFormat="1" applyFont="1" applyFill="1" applyBorder="1" applyAlignment="1">
      <x:alignment horizontal="right" wrapText="1"/>
    </x:xf>
    <x:xf numFmtId="0" fontId="27" fillId="6" borderId="34" xfId="27" applyFont="1" applyFill="1" applyBorder="1" applyAlignment="1">
      <x:alignment horizontal="center" vertical="center" wrapText="1"/>
    </x:xf>
    <x:xf numFmtId="0" fontId="27" fillId="6" borderId="34" xfId="27" applyFont="1" applyFill="1" applyBorder="1" applyAlignment="1">
      <x:alignment horizontal="center" vertical="center" wrapText="1"/>
    </x:xf>
    <x:xf numFmtId="0" fontId="34" fillId="3" borderId="0" xfId="0" applyFont="1" applyFill="1" applyAlignment="1">
      <x:alignment horizontal="center"/>
    </x:xf>
    <x:xf numFmtId="10" fontId="0" fillId="0" borderId="26" xfId="0" applyNumberFormat="1" applyFill="1" applyBorder="1" applyAlignment="1">
      <x:alignment horizontal="center" vertical="center"/>
    </x:xf>
    <x:xf numFmtId="0" fontId="9" fillId="6" borderId="102" xfId="27" applyFont="1" applyFill="1" applyBorder="1" applyAlignment="1">
      <x:alignment horizontal="center" vertical="center" wrapText="1"/>
    </x:xf>
    <x:xf numFmtId="4" fontId="0" fillId="3" borderId="104" xfId="0" applyNumberFormat="1" applyFill="1" applyBorder="1" applyAlignment="1">
      <x:alignment horizontal="center" vertical="center"/>
    </x:xf>
    <x:xf numFmtId="4" fontId="0" fillId="0" borderId="107" xfId="0" applyNumberFormat="1" applyFill="1" applyBorder="1" applyAlignment="1">
      <x:alignment horizontal="center" vertical="center"/>
    </x:xf>
    <x:xf numFmtId="10" fontId="0" fillId="0" borderId="108" xfId="0" applyNumberFormat="1" applyFill="1" applyBorder="1" applyAlignment="1">
      <x:alignment horizontal="center" vertical="center"/>
    </x:xf>
    <x:xf numFmtId="9" fontId="0" fillId="0" borderId="112" xfId="0" applyNumberFormat="1" applyBorder="1" applyAlignment="1">
      <x:alignment horizontal="center" vertical="center"/>
    </x:xf>
    <x:xf numFmtId="0" fontId="0" fillId="4" borderId="113" xfId="0" applyFill="1" applyBorder="1"/>
    <x:xf numFmtId="0" fontId="5" fillId="2" borderId="114" xfId="0" applyFont="1" applyFill="1" applyBorder="1"/>
    <x:xf numFmtId="0" fontId="0" fillId="2" borderId="115" xfId="0" applyFill="1" applyBorder="1"/>
    <x:xf numFmtId="0" fontId="0" fillId="4" borderId="116" xfId="0" applyFill="1" applyBorder="1"/>
    <x:xf numFmtId="4" fontId="0" fillId="3" borderId="121" xfId="0" applyNumberFormat="1" applyFill="1" applyBorder="1" applyAlignment="1">
      <x:alignment horizontal="center" vertical="center"/>
    </x:xf>
    <x:xf numFmtId="0" fontId="5" fillId="3" borderId="123" xfId="0" applyFont="1" applyFill="1" applyBorder="1" applyAlignment="1">
      <x:alignment horizontal="center" vertical="center" wrapText="1"/>
    </x:xf>
    <x:xf numFmtId="0" fontId="5" fillId="0" borderId="50" xfId="0" applyFont="1" applyBorder="1"/>
    <x:xf numFmtId="0" fontId="5" fillId="4" borderId="26" xfId="0" applyFont="1" applyFill="1" applyBorder="1"/>
    <x:xf numFmtId="0" fontId="14" fillId="4" borderId="105" xfId="0" applyFont="1" applyFill="1" applyBorder="1" applyAlignment="1">
      <x:alignment horizontal="center" vertical="center"/>
    </x:xf>
    <x:xf numFmtId="4" fontId="0" fillId="3" borderId="128" xfId="0" applyNumberFormat="1" applyFill="1" applyBorder="1" applyAlignment="1">
      <x:alignment horizontal="center" vertical="center"/>
    </x:xf>
    <x:xf numFmtId="0" fontId="0" fillId="0" borderId="111" xfId="0" applyBorder="1"/>
    <x:xf numFmtId="4" fontId="0" fillId="0" borderId="129" xfId="0" applyNumberFormat="1" applyFill="1" applyBorder="1" applyAlignment="1">
      <x:alignment horizontal="center" vertical="center"/>
    </x:xf>
    <x:xf numFmtId="0" fontId="0" fillId="0" borderId="113" xfId="0" applyBorder="1"/>
    <x:xf numFmtId="10" fontId="0" fillId="0" borderId="130" xfId="0" applyNumberFormat="1" applyFill="1" applyBorder="1" applyAlignment="1">
      <x:alignment horizontal="center" vertical="center"/>
    </x:xf>
    <x:xf numFmtId="4" fontId="0" fillId="3" borderId="131" xfId="0" applyNumberFormat="1" applyFill="1" applyBorder="1" applyAlignment="1">
      <x:alignment horizontal="center" vertical="center"/>
    </x:xf>
    <x:xf numFmtId="0" fontId="0" fillId="4" borderId="109" xfId="0" applyFill="1" applyBorder="1"/>
    <x:xf numFmtId="0" fontId="0" fillId="2" borderId="114" xfId="0" applyFill="1" applyBorder="1"/>
    <x:xf numFmtId="0" fontId="0" fillId="4" borderId="132" xfId="0" applyFill="1" applyBorder="1"/>
    <x:xf numFmtId="0" fontId="0" fillId="4" borderId="117" xfId="0" applyFill="1" applyBorder="1"/>
    <x:xf numFmtId="0" fontId="0" fillId="4" borderId="133" xfId="0" applyFill="1" applyBorder="1"/>
    <x:xf numFmtId="0" fontId="0" fillId="4" borderId="118" xfId="0" applyFill="1" applyBorder="1"/>
    <x:xf numFmtId="4" fontId="0" fillId="0" borderId="134" xfId="0" applyNumberFormat="1" applyFill="1" applyBorder="1" applyAlignment="1">
      <x:alignment horizontal="center" vertical="center"/>
    </x:xf>
    <x:xf numFmtId="10" fontId="0" fillId="0" borderId="121" xfId="0" applyNumberFormat="1" applyFill="1" applyBorder="1" applyAlignment="1">
      <x:alignment horizontal="center" vertical="center"/>
    </x:xf>
    <x:xf numFmtId="4" fontId="0" fillId="3" borderId="135" xfId="0" applyNumberFormat="1" applyFill="1" applyBorder="1" applyAlignment="1">
      <x:alignment horizontal="center" vertical="center"/>
    </x:xf>
    <x:xf numFmtId="4" fontId="14" fillId="4" borderId="136" xfId="0" applyNumberFormat="1" applyFont="1" applyFill="1" applyBorder="1"/>
    <x:xf numFmtId="172" fontId="0" fillId="0" borderId="34" xfId="0" applyNumberFormat="1" applyBorder="1" applyAlignment="1">
      <x:alignment vertical="center"/>
    </x:xf>
    <x:xf numFmtId="172" fontId="0" fillId="0" borderId="34" xfId="0" applyNumberFormat="1" applyBorder="1" applyAlignment="1">
      <x:alignment horizontal="center" vertical="center"/>
    </x:xf>
    <x:xf numFmtId="2" fontId="0" fillId="0" borderId="34" xfId="0" applyNumberFormat="1" applyBorder="1" applyAlignment="1">
      <x:alignment horizontal="center" vertical="center"/>
    </x:xf>
    <x:xf numFmtId="0" fontId="0" fillId="0" borderId="0" xfId="0" applyAlignment="1">
      <x:alignment horizontal="center"/>
    </x:xf>
    <x:xf numFmtId="0" fontId="7" fillId="6" borderId="34" xfId="27" applyFont="1" applyFill="1" applyBorder="1" applyAlignment="1">
      <x:alignment horizontal="center" vertical="center" wrapText="1"/>
    </x:xf>
    <x:xf numFmtId="0" fontId="0" fillId="3" borderId="103" xfId="0" applyFill="1" applyBorder="1" applyAlignment="1">
      <x:alignment horizontal="center" vertical="center" wrapText="1"/>
    </x:xf>
    <x:xf numFmtId="0" fontId="0" fillId="3" borderId="105" xfId="0" applyFill="1" applyBorder="1" applyAlignment="1">
      <x:alignment horizontal="center" vertical="center" wrapText="1"/>
    </x:xf>
    <x:xf numFmtId="0" fontId="0" fillId="3" borderId="106" xfId="0" applyFill="1" applyBorder="1" applyAlignment="1">
      <x:alignment horizontal="center" vertical="center" wrapText="1"/>
    </x:xf>
    <x:xf numFmtId="2" fontId="5" fillId="0" borderId="50" xfId="0" applyNumberFormat="1" applyFont="1" applyBorder="1" applyAlignment="1">
      <x:alignment horizontal="center" vertical="center"/>
    </x:xf>
    <x:xf numFmtId="2" fontId="5" fillId="0" borderId="22" xfId="0" applyNumberFormat="1" applyFont="1" applyBorder="1" applyAlignment="1">
      <x:alignment horizontal="center" vertical="center"/>
    </x:xf>
    <x:xf numFmtId="2" fontId="5" fillId="0" borderId="104" xfId="0" applyNumberFormat="1" applyFont="1" applyBorder="1" applyAlignment="1">
      <x:alignment horizontal="center" vertical="center"/>
    </x:xf>
    <x:xf numFmtId="0" fontId="0" fillId="3" borderId="19" xfId="0" applyFill="1" applyBorder="1" applyAlignment="1">
      <x:alignment horizontal="center" vertical="center"/>
    </x:xf>
    <x:xf numFmtId="0" fontId="0" fillId="3" borderId="97" xfId="0" applyFill="1" applyBorder="1" applyAlignment="1">
      <x:alignment horizontal="center" vertical="center"/>
    </x:xf>
    <x:xf numFmtId="0" fontId="0" fillId="3" borderId="36" xfId="0" applyFill="1" applyBorder="1" applyAlignment="1">
      <x:alignment horizontal="center" vertical="center"/>
    </x:xf>
    <x:xf numFmtId="0" fontId="0" fillId="3" borderId="30" xfId="0" applyFill="1" applyBorder="1" applyAlignment="1">
      <x:alignment horizontal="center" vertical="center" wrapText="1"/>
    </x:xf>
    <x:xf numFmtId="0" fontId="0" fillId="3" borderId="98" xfId="0" applyFill="1" applyBorder="1" applyAlignment="1">
      <x:alignment horizontal="center" vertical="center" wrapText="1"/>
    </x:xf>
    <x:xf numFmtId="0" fontId="0" fillId="3" borderId="37" xfId="0" applyFill="1" applyBorder="1" applyAlignment="1">
      <x:alignment horizontal="center" vertical="center" wrapText="1"/>
    </x:xf>
    <x:xf numFmtId="0" fontId="0" fillId="3" borderId="31" xfId="0" applyFill="1" applyBorder="1" applyAlignment="1">
      <x:alignment horizontal="center" vertical="center"/>
    </x:xf>
    <x:xf numFmtId="0" fontId="0" fillId="3" borderId="95" xfId="0" applyFill="1" applyBorder="1" applyAlignment="1">
      <x:alignment horizontal="center" vertical="center"/>
    </x:xf>
    <x:xf numFmtId="0" fontId="0" fillId="3" borderId="38" xfId="0" applyFill="1" applyBorder="1" applyAlignment="1">
      <x:alignment horizontal="center" vertical="center"/>
    </x:xf>
    <x:xf numFmtId="0" fontId="1" fillId="3" borderId="47" xfId="0" applyFont="1" applyFill="1" applyBorder="1" applyAlignment="1">
      <x:alignment horizontal="center" vertical="center"/>
    </x:xf>
    <x:xf numFmtId="0" fontId="1" fillId="3" borderId="119" xfId="0" applyFont="1" applyFill="1" applyBorder="1" applyAlignment="1">
      <x:alignment horizontal="center" vertical="center"/>
    </x:xf>
    <x:xf numFmtId="0" fontId="5" fillId="3" borderId="24" xfId="0" applyFont="1" applyFill="1" applyBorder="1" applyAlignment="1">
      <x:alignment horizontal="center" vertical="center"/>
    </x:xf>
    <x:xf numFmtId="0" fontId="5" fillId="3" borderId="48" xfId="0" applyFont="1" applyFill="1" applyBorder="1" applyAlignment="1">
      <x:alignment horizontal="center" vertical="center" wrapText="1"/>
    </x:xf>
    <x:xf numFmtId="0" fontId="5" fillId="3" borderId="120" xfId="0" applyFont="1" applyFill="1" applyBorder="1" applyAlignment="1">
      <x:alignment horizontal="center" vertical="center" wrapText="1"/>
    </x:xf>
    <x:xf numFmtId="0" fontId="5" fillId="3" borderId="42" xfId="0" applyFont="1" applyFill="1" applyBorder="1" applyAlignment="1">
      <x:alignment horizontal="center" vertical="center" wrapText="1"/>
    </x:xf>
    <x:xf numFmtId="0" fontId="0" fillId="3" borderId="110" xfId="0" applyFill="1" applyBorder="1" applyAlignment="1">
      <x:alignment horizontal="center" vertical="center" wrapText="1"/>
    </x:xf>
    <x:xf numFmtId="0" fontId="0" fillId="3" borderId="111" xfId="0" applyFill="1" applyBorder="1" applyAlignment="1">
      <x:alignment horizontal="center" vertical="center" wrapText="1"/>
    </x:xf>
    <x:xf numFmtId="0" fontId="0" fillId="3" borderId="29" xfId="0" applyFill="1" applyBorder="1" applyAlignment="1">
      <x:alignment horizontal="center" vertical="center"/>
    </x:xf>
    <x:xf numFmtId="0" fontId="5" fillId="3" borderId="2" xfId="0" applyFont="1" applyFill="1" applyBorder="1" applyAlignment="1">
      <x:alignment horizontal="center" vertical="center"/>
    </x:xf>
    <x:xf numFmtId="0" fontId="5" fillId="3" borderId="0" xfId="0" applyFont="1" applyFill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/>
    </x:xf>
    <x:xf numFmtId="0" fontId="5" fillId="3" borderId="32" xfId="0" applyFont="1" applyFill="1" applyBorder="1" applyAlignment="1">
      <x:alignment horizontal="center" vertical="center" wrapText="1"/>
    </x:xf>
    <x:xf numFmtId="0" fontId="5" fillId="3" borderId="99" xfId="0" applyFont="1" applyFill="1" applyBorder="1" applyAlignment="1">
      <x:alignment horizontal="center" vertical="center" wrapText="1"/>
    </x:xf>
    <x:xf numFmtId="0" fontId="5" fillId="3" borderId="96" xfId="0" applyFont="1" applyFill="1" applyBorder="1" applyAlignment="1">
      <x:alignment horizontal="center" vertical="center" wrapText="1"/>
    </x:xf>
    <x:xf numFmtId="0" fontId="0" fillId="3" borderId="127" xfId="0" applyFill="1" applyBorder="1" applyAlignment="1">
      <x:alignment horizontal="center" vertical="center" wrapText="1"/>
    </x:xf>
    <x:xf numFmtId="0" fontId="0" fillId="4" borderId="124" xfId="0" applyFill="1" applyBorder="1" applyAlignment="1">
      <x:alignment horizontal="center"/>
    </x:xf>
    <x:xf numFmtId="0" fontId="0" fillId="4" borderId="125" xfId="0" applyFill="1" applyBorder="1" applyAlignment="1">
      <x:alignment horizontal="center"/>
    </x:xf>
    <x:xf numFmtId="0" fontId="0" fillId="4" borderId="126" xfId="0" applyFill="1" applyBorder="1" applyAlignment="1">
      <x:alignment horizontal="center"/>
    </x:xf>
    <x:xf numFmtId="0" fontId="0" fillId="4" borderId="101" xfId="0" applyFill="1" applyBorder="1" applyAlignment="1">
      <x:alignment horizontal="center"/>
    </x:xf>
    <x:xf numFmtId="0" fontId="0" fillId="4" borderId="94" xfId="0" applyFill="1" applyBorder="1" applyAlignment="1">
      <x:alignment horizontal="center"/>
    </x:xf>
    <x:xf numFmtId="0" fontId="14" fillId="4" borderId="18" xfId="0" applyFont="1" applyFill="1" applyBorder="1" applyAlignment="1">
      <x:alignment horizontal="center" vertical="center"/>
    </x:xf>
    <x:xf numFmtId="0" fontId="14" fillId="4" borderId="19" xfId="0" applyFont="1" applyFill="1" applyBorder="1" applyAlignment="1">
      <x:alignment horizontal="center" vertical="center"/>
    </x:xf>
    <x:xf numFmtId="0" fontId="14" fillId="4" borderId="23" xfId="0" applyFont="1" applyFill="1" applyBorder="1" applyAlignment="1">
      <x:alignment horizontal="center" vertical="center" wrapText="1"/>
    </x:xf>
    <x:xf numFmtId="0" fontId="28" fillId="4" borderId="24" xfId="0" applyFont="1" applyFill="1" applyBorder="1" applyAlignment="1">
      <x:alignment horizontal="center" vertical="center" wrapText="1"/>
    </x:xf>
    <x:xf numFmtId="0" fontId="28" fillId="4" borderId="13" xfId="0" applyFont="1" applyFill="1" applyBorder="1" applyAlignment="1">
      <x:alignment horizontal="center" vertical="center" wrapText="1"/>
    </x:xf>
    <x:xf numFmtId="0" fontId="5" fillId="4" borderId="25" xfId="0" applyFont="1" applyFill="1" applyBorder="1" applyAlignment="1">
      <x:alignment horizontal="center" vertical="center"/>
    </x:xf>
    <x:xf numFmtId="0" fontId="5" fillId="4" borderId="100" xfId="0" applyFont="1" applyFill="1" applyBorder="1" applyAlignment="1">
      <x:alignment horizontal="center" vertical="center"/>
    </x:xf>
    <x:xf numFmtId="0" fontId="5" fillId="4" borderId="122" xfId="0" applyFont="1" applyFill="1" applyBorder="1" applyAlignment="1">
      <x:alignment horizontal="center" vertical="center"/>
    </x:xf>
    <x:xf numFmtId="170" fontId="9" fillId="5" borderId="56" xfId="27" applyNumberFormat="1" applyFont="1" applyFill="1" applyBorder="1" applyAlignment="1">
      <x:alignment horizontal="center" vertical="center" wrapText="1"/>
    </x:xf>
    <x:xf numFmtId="170" fontId="9" fillId="5" borderId="34" xfId="27" applyNumberFormat="1" applyFont="1" applyFill="1" applyBorder="1" applyAlignment="1">
      <x:alignment horizontal="center" vertical="center" wrapText="1"/>
    </x:xf>
    <x:xf numFmtId="0" fontId="1" fillId="7" borderId="0" xfId="0" applyFont="1" applyFill="1" applyBorder="1" applyAlignment="1">
      <x:alignment horizontal="left" vertical="top" wrapText="1"/>
    </x:xf>
    <x:xf numFmtId="0" fontId="2" fillId="7" borderId="0" xfId="0" applyFont="1" applyFill="1" applyBorder="1" applyAlignment="1">
      <x:alignment horizontal="left" vertical="top" wrapText="1"/>
    </x:xf>
    <x:xf numFmtId="0" fontId="35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top" wrapText="1"/>
    </x:xf>
    <x:xf numFmtId="0" fontId="0" fillId="0" borderId="90" xfId="0" applyBorder="1" applyAlignment="1">
      <x:alignment horizontal="center" vertical="center"/>
    </x:xf>
    <x:xf numFmtId="0" fontId="0" fillId="0" borderId="91" xfId="0" applyBorder="1" applyAlignment="1">
      <x:alignment horizontal="center" vertical="center"/>
    </x:xf>
    <x:xf numFmtId="0" fontId="0" fillId="0" borderId="92" xfId="0" applyBorder="1" applyAlignment="1">
      <x:alignment horizontal="center" vertical="center"/>
    </x:xf>
    <x:xf numFmtId="0" fontId="0" fillId="0" borderId="89" xfId="0" applyBorder="1" applyAlignment="1">
      <x:alignment horizontal="center" vertical="center"/>
    </x:xf>
    <x:xf numFmtId="0" fontId="0" fillId="0" borderId="87" xfId="0" applyBorder="1" applyAlignment="1">
      <x:alignment horizontal="center" vertical="center"/>
    </x:xf>
    <x:xf numFmtId="0" fontId="0" fillId="0" borderId="88" xfId="0" applyBorder="1" applyAlignment="1">
      <x:alignment horizontal="center" vertical="center"/>
    </x:xf>
    <x:xf numFmtId="0" fontId="0" fillId="0" borderId="93" xfId="0" applyBorder="1" applyAlignment="1">
      <x:alignment horizontal="center" vertical="center"/>
    </x:xf>
    <x:xf numFmtId="0" fontId="0" fillId="0" borderId="77" xfId="0" applyBorder="1" applyAlignment="1">
      <x:alignment horizontal="center" vertical="center"/>
    </x:xf>
    <x:xf numFmtId="0" fontId="0" fillId="0" borderId="78" xfId="0" applyBorder="1" applyAlignment="1">
      <x:alignment horizontal="center" vertical="center"/>
    </x:xf>
    <x:xf numFmtId="0" fontId="0" fillId="0" borderId="79" xfId="0" applyBorder="1" applyAlignment="1">
      <x:alignment horizontal="center" vertical="center"/>
    </x:xf>
    <x:xf numFmtId="0" fontId="0" fillId="0" borderId="80" xfId="0" applyBorder="1" applyAlignment="1">
      <x:alignment horizontal="center" vertical="center"/>
    </x:xf>
    <x:xf numFmtId="0" fontId="0" fillId="0" borderId="81" xfId="0" applyBorder="1" applyAlignment="1">
      <x:alignment horizontal="center" vertical="center"/>
    </x:xf>
    <x:xf numFmtId="0" fontId="0" fillId="0" borderId="82" xfId="0" applyBorder="1" applyAlignment="1">
      <x:alignment horizontal="center" vertical="center"/>
    </x:xf>
    <x:xf numFmtId="0" fontId="0" fillId="0" borderId="83" xfId="0" applyBorder="1" applyAlignment="1">
      <x:alignment horizontal="center" vertical="center"/>
    </x:xf>
    <x:xf numFmtId="0" fontId="0" fillId="0" borderId="84" xfId="0" applyBorder="1" applyAlignment="1">
      <x:alignment horizontal="center" vertical="center"/>
    </x:xf>
    <x:xf numFmtId="0" fontId="0" fillId="0" borderId="86" xfId="0" applyBorder="1" applyAlignment="1">
      <x:alignment horizontal="center" vertical="center"/>
    </x:xf>
    <x:xf numFmtId="0" fontId="24" fillId="8" borderId="61" xfId="0" applyFont="1" applyFill="1" applyBorder="1" applyAlignment="1">
      <x:alignment horizontal="center" vertical="center" wrapText="1"/>
    </x:xf>
    <x:xf numFmtId="0" fontId="24" fillId="8" borderId="62" xfId="0" applyFont="1" applyFill="1" applyBorder="1" applyAlignment="1">
      <x:alignment horizontal="center" vertical="center" wrapText="1"/>
    </x:xf>
    <x:xf numFmtId="0" fontId="24" fillId="8" borderId="35" xfId="0" applyFont="1" applyFill="1" applyBorder="1" applyAlignment="1">
      <x:alignment horizontal="center" vertical="center" wrapText="1"/>
    </x:xf>
    <x:xf numFmtId="0" fontId="24" fillId="8" borderId="63" xfId="0" applyFont="1" applyFill="1" applyBorder="1" applyAlignment="1">
      <x:alignment horizontal="center" vertical="center" wrapText="1"/>
    </x:xf>
    <x:xf numFmtId="0" fontId="24" fillId="8" borderId="58" xfId="0" applyFont="1" applyFill="1" applyBorder="1" applyAlignment="1">
      <x:alignment horizontal="center" vertical="center" wrapText="1"/>
    </x:xf>
    <x:xf numFmtId="0" fontId="24" fillId="8" borderId="59" xfId="0" applyFont="1" applyFill="1" applyBorder="1" applyAlignment="1">
      <x:alignment horizontal="center" vertical="center" wrapText="1"/>
    </x:xf>
    <x:xf numFmtId="0" fontId="24" fillId="8" borderId="60" xfId="0" applyFont="1" applyFill="1" applyBorder="1" applyAlignment="1">
      <x:alignment horizontal="center" vertical="center" wrapText="1"/>
    </x:xf>
    <x:xf numFmtId="0" fontId="37" fillId="0" borderId="137" xfId="0" applyFont="1" applyBorder="1" applyAlignment="1">
      <x:alignment horizontal="left" vertical="center" wrapText="1"/>
    </x:xf>
    <x:xf numFmtId="0" fontId="14" fillId="4" borderId="0" xfId="0" applyFont="1" applyFill="1" applyBorder="1" applyAlignment="1">
      <x:alignment vertical="center" wrapText="1"/>
    </x:xf>
    <x:xf numFmtId="0" fontId="9" fillId="6" borderId="138" xfId="27" applyFont="1" applyFill="1" applyBorder="1" applyAlignment="1">
      <x:alignment horizontal="center" vertical="center" wrapText="1"/>
    </x:xf>
    <x:xf numFmtId="4" fontId="0" fillId="3" borderId="50" xfId="0" applyNumberFormat="1" applyFill="1" applyBorder="1" applyAlignment="1">
      <x:alignment horizontal="center" vertical="center"/>
    </x:xf>
    <x:xf numFmtId="4" fontId="0" fillId="3" borderId="22" xfId="0" applyNumberFormat="1" applyFill="1" applyBorder="1" applyAlignment="1">
      <x:alignment horizontal="center" vertical="center"/>
    </x:xf>
    <x:xf numFmtId="0" fontId="0" fillId="0" borderId="139" xfId="0" applyBorder="1"/>
    <x:xf numFmtId="0" fontId="0" fillId="0" borderId="11" xfId="0" applyBorder="1"/>
    <x:xf numFmtId="4" fontId="0" fillId="3" borderId="10" xfId="0" applyNumberFormat="1" applyFill="1" applyBorder="1" applyAlignment="1">
      <x:alignment horizontal="center" vertical="center"/>
    </x:xf>
    <x:xf numFmtId="4" fontId="0" fillId="4" borderId="10" xfId="0" applyNumberFormat="1" applyFill="1" applyBorder="1"/>
    <x:xf numFmtId="0" fontId="14" fillId="4" borderId="140" xfId="0" applyFont="1" applyFill="1" applyBorder="1" applyAlignment="1">
      <x:alignment horizontal="center" vertical="center"/>
    </x:xf>
    <x:xf numFmtId="0" fontId="14" fillId="4" borderId="141" xfId="0" applyFont="1" applyFill="1" applyBorder="1" applyAlignment="1">
      <x:alignment horizontal="center" vertical="center"/>
    </x:xf>
    <x:xf numFmtId="4" fontId="0" fillId="3" borderId="142" xfId="0" applyNumberFormat="1" applyFill="1" applyBorder="1" applyAlignment="1"/>
    <x:xf numFmtId="4" fontId="0" fillId="3" borderId="143" xfId="0" applyNumberFormat="1" applyFill="1" applyBorder="1" applyAlignment="1"/>
    <x:xf numFmtId="4" fontId="0" fillId="3" borderId="144" xfId="0" applyNumberFormat="1" applyFill="1" applyBorder="1" applyAlignment="1">
      <x:alignment vertical="center"/>
    </x:xf>
    <x:xf numFmtId="0" fontId="0" fillId="0" borderId="141" xfId="0" applyBorder="1"/>
    <x:xf numFmtId="0" fontId="0" fillId="0" borderId="145" xfId="0" applyBorder="1"/>
    <x:xf numFmtId="0" fontId="0" fillId="0" borderId="142" xfId="0" applyBorder="1"/>
    <x:xf numFmtId="4" fontId="5" fillId="4" borderId="145" xfId="0" applyNumberFormat="1" applyFont="1" applyFill="1" applyBorder="1"/>
    <x:xf numFmtId="0" fontId="0" fillId="2" borderId="143" xfId="0" applyFill="1" applyBorder="1"/>
    <x:xf numFmtId="4" fontId="14" fillId="4" borderId="146" xfId="0" applyNumberFormat="1" applyFont="1" applyFill="1" applyBorder="1"/>
    <x:xf numFmtId="0" fontId="0" fillId="15" borderId="0" xfId="0" applyNumberFormat="1" applyFont="1" applyFill="1" applyBorder="1"/>
    <x:xf numFmtId="0" fontId="38" fillId="15" borderId="0" xfId="0" applyNumberFormat="1" applyFont="1" applyFill="1" applyBorder="1"/>
    <x:xf numFmtId="0" fontId="38" fillId="15" borderId="0" xfId="0" applyNumberFormat="1" applyFont="1" applyFill="1" applyBorder="1" applyAlignment="1">
      <x:alignment horizontal="left"/>
    </x:xf>
    <x:xf numFmtId="0" fontId="38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39" fillId="16" borderId="0" xfId="0" applyNumberFormat="1" applyFont="1" applyFill="1" applyBorder="1"/>
    <x:xf numFmtId="0" fontId="39" fillId="16" borderId="0" xfId="0" applyNumberFormat="1" applyFont="1" applyFill="1" applyBorder="1" applyAlignment="1">
      <x:alignment vertical="center"/>
    </x:xf>
    <x:xf numFmtId="0" fontId="40" fillId="15" borderId="0" xfId="0" applyNumberFormat="1" applyFont="1" applyFill="1" applyBorder="1"/>
    <x:xf numFmtId="0" fontId="40" fillId="15" borderId="147" xfId="0" applyNumberFormat="1" applyFont="1" applyFill="1" applyBorder="1"/>
    <x:xf numFmtId="0" fontId="40" fillId="15" borderId="147" xfId="0" applyNumberFormat="1" applyFont="1" applyFill="1" applyBorder="1" applyAlignment="1">
      <x:alignment wrapText="1"/>
    </x:xf>
    <x:xf numFmtId="0" fontId="40" fillId="15" borderId="147" xfId="0" applyNumberFormat="1" applyFont="1" applyFill="1" applyBorder="1" applyAlignment="1">
      <x:alignment horizontal="center" wrapText="1"/>
    </x:xf>
    <x:xf numFmtId="0" fontId="40" fillId="15" borderId="147" xfId="0" applyNumberFormat="1" applyFont="1" applyFill="1" applyBorder="1" applyAlignment="1">
      <x:alignment horizontal="center" vertical="center" wrapText="1"/>
    </x:xf>
    <x:xf numFmtId="0" fontId="41" fillId="15" borderId="147" xfId="0" applyNumberFormat="1" applyFont="1" applyFill="1" applyBorder="1" applyAlignment="1">
      <x:alignment horizontal="center" vertical="center" wrapText="1"/>
    </x:xf>
    <x:xf numFmtId="0" fontId="42" fillId="0" borderId="0" xfId="0" applyNumberFormat="1" applyFont="1" applyFill="1" applyBorder="1"/>
    <x:xf numFmtId="0" fontId="41" fillId="15" borderId="148" xfId="0" applyNumberFormat="1" applyFont="1" applyFill="1" applyBorder="1" applyAlignment="1">
      <x:alignment horizontal="center" vertical="center" wrapText="1"/>
    </x:xf>
    <x:xf numFmtId="0" fontId="42" fillId="0" borderId="148" xfId="0" applyNumberFormat="1" applyFont="1" applyFill="1" applyBorder="1"/>
    <x:xf numFmtId="0" fontId="42" fillId="0" borderId="148" xfId="0" applyNumberFormat="1" applyFont="1" applyFill="1" applyBorder="1" applyAlignment="1">
      <x:alignment vertical="center"/>
    </x:xf>
    <x:xf numFmtId="0" fontId="42" fillId="17" borderId="148" xfId="0" applyNumberFormat="1" applyFont="1" applyFill="1" applyBorder="1" applyAlignment="1">
      <x:alignment vertical="center"/>
    </x:xf>
    <x:xf numFmtId="0" fontId="42" fillId="18" borderId="148" xfId="0" applyNumberFormat="1" applyFont="1" applyFill="1" applyBorder="1" applyAlignment="1">
      <x:alignment vertical="center"/>
    </x:xf>
    <x:xf numFmtId="200" fontId="42" fillId="17" borderId="148" xfId="0" applyNumberFormat="1" applyFont="1" applyFill="1" applyBorder="1" applyAlignment="1">
      <x:alignment vertical="center"/>
    </x:xf>
    <x:xf numFmtId="200" fontId="42" fillId="18" borderId="148" xfId="0" applyNumberFormat="1" applyFont="1" applyFill="1" applyBorder="1" applyAlignment="1">
      <x:alignment vertical="center"/>
    </x:xf>
    <x:xf numFmtId="201" fontId="42" fillId="17" borderId="148" xfId="0" applyNumberFormat="1" applyFont="1" applyFill="1" applyBorder="1" applyAlignment="1">
      <x:alignment vertical="center"/>
    </x:xf>
    <x:xf numFmtId="201" fontId="42" fillId="18" borderId="148" xfId="0" applyNumberFormat="1" applyFont="1" applyFill="1" applyBorder="1" applyAlignment="1">
      <x:alignment vertical="center"/>
    </x:xf>
    <x:xf numFmtId="202" fontId="42" fillId="17" borderId="148" xfId="0" applyNumberFormat="1" applyFont="1" applyFill="1" applyBorder="1" applyAlignment="1">
      <x:alignment vertical="center"/>
    </x:xf>
    <x:xf numFmtId="203" fontId="42" fillId="17" borderId="148" xfId="0" applyNumberFormat="1" applyFont="1" applyFill="1" applyBorder="1" applyAlignment="1">
      <x:alignment vertical="center"/>
    </x:xf>
    <x:xf numFmtId="203" fontId="42" fillId="18" borderId="148" xfId="0" applyNumberFormat="1" applyFont="1" applyFill="1" applyBorder="1" applyAlignment="1">
      <x:alignment vertical="center"/>
    </x:xf>
    <x:xf numFmtId="200" fontId="42" fillId="0" borderId="148" xfId="0" applyNumberFormat="1" applyFont="1" applyFill="1" applyBorder="1" applyAlignment="1">
      <x:alignment vertical="center"/>
    </x:xf>
    <x:xf numFmtId="0" fontId="41" fillId="0" borderId="148" xfId="0" applyNumberFormat="1" applyFont="1" applyFill="1" applyBorder="1" applyAlignment="1">
      <x:alignment vertical="center"/>
    </x:xf>
    <x:xf numFmtId="200" fontId="41" fillId="0" borderId="148" xfId="0" applyNumberFormat="1" applyFont="1" applyFill="1" applyBorder="1" applyAlignment="1">
      <x:alignment vertical="center"/>
    </x:xf>
    <x:xf numFmtId="0" fontId="41" fillId="18" borderId="148" xfId="0" applyNumberFormat="1" applyFont="1" applyFill="1" applyBorder="1" applyAlignment="1">
      <x:alignment vertical="center"/>
    </x:xf>
    <x:xf numFmtId="200" fontId="41" fillId="18" borderId="148" xfId="0" applyNumberFormat="1" applyFont="1" applyFill="1" applyBorder="1" applyAlignment="1">
      <x:alignment vertical="center"/>
    </x:xf>
    <x:xf numFmtId="0" fontId="38" fillId="15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9" fillId="16" borderId="0" xfId="0" applyNumberFormat="1" applyFont="1" applyFill="1" applyBorder="1" applyAlignment="1">
      <x:alignment vertical="center" wrapText="1"/>
    </x:xf>
    <x:xf numFmtId="0" fontId="42" fillId="0" borderId="148" xfId="0" applyNumberFormat="1" applyFont="1" applyFill="1" applyBorder="1" applyAlignment="1">
      <x:alignment vertical="center" wrapText="1"/>
    </x:xf>
    <x:xf numFmtId="200" fontId="42" fillId="17" borderId="148" xfId="0" applyNumberFormat="1" applyFont="1" applyFill="1" applyBorder="1" applyAlignment="1">
      <x:alignment vertical="center" wrapText="1"/>
    </x:xf>
    <x:xf numFmtId="200" fontId="42" fillId="18" borderId="148" xfId="0" applyNumberFormat="1" applyFont="1" applyFill="1" applyBorder="1" applyAlignment="1">
      <x:alignment vertical="center" wrapText="1"/>
    </x:xf>
    <x:xf numFmtId="201" fontId="42" fillId="17" borderId="148" xfId="0" applyNumberFormat="1" applyFont="1" applyFill="1" applyBorder="1" applyAlignment="1">
      <x:alignment vertical="center" wrapText="1"/>
    </x:xf>
    <x:xf numFmtId="201" fontId="42" fillId="18" borderId="148" xfId="0" applyNumberFormat="1" applyFont="1" applyFill="1" applyBorder="1" applyAlignment="1">
      <x:alignment vertical="center" wrapText="1"/>
    </x:xf>
    <x:xf numFmtId="202" fontId="42" fillId="17" borderId="148" xfId="0" applyNumberFormat="1" applyFont="1" applyFill="1" applyBorder="1" applyAlignment="1">
      <x:alignment vertical="center" wrapText="1"/>
    </x:xf>
    <x:xf numFmtId="203" fontId="42" fillId="17" borderId="148" xfId="0" applyNumberFormat="1" applyFont="1" applyFill="1" applyBorder="1" applyAlignment="1">
      <x:alignment vertical="center" wrapText="1"/>
    </x:xf>
    <x:xf numFmtId="203" fontId="42" fillId="18" borderId="148" xfId="0" applyNumberFormat="1" applyFont="1" applyFill="1" applyBorder="1" applyAlignment="1">
      <x:alignment vertical="center" wrapText="1"/>
    </x:xf>
    <x:xf numFmtId="200" fontId="42" fillId="0" borderId="148" xfId="0" applyNumberFormat="1" applyFont="1" applyFill="1" applyBorder="1" applyAlignment="1">
      <x:alignment vertical="center" wrapText="1"/>
    </x:xf>
    <x:xf numFmtId="0" fontId="41" fillId="18" borderId="148" xfId="0" applyNumberFormat="1" applyFont="1" applyFill="1" applyBorder="1" applyAlignment="1">
      <x:alignment vertical="center" wrapText="1"/>
    </x:xf>
    <x:xf numFmtId="200" fontId="41" fillId="18" borderId="148" xfId="0" applyNumberFormat="1" applyFont="1" applyFill="1" applyBorder="1" applyAlignment="1">
      <x:alignment vertical="center" wrapText="1"/>
    </x:xf>
    <x:xf numFmtId="203" fontId="42" fillId="0" borderId="148" xfId="0" applyNumberFormat="1" applyFont="1" applyFill="1" applyBorder="1" applyAlignment="1">
      <x:alignment vertical="center"/>
    </x:xf>
    <x:xf numFmtId="201" fontId="42" fillId="0" borderId="148" xfId="0" applyNumberFormat="1" applyFont="1" applyFill="1" applyBorder="1" applyAlignment="1">
      <x:alignment vertical="center"/>
    </x:xf>
    <x:xf numFmtId="203" fontId="41" fillId="18" borderId="148" xfId="0" applyNumberFormat="1" applyFont="1" applyFill="1" applyBorder="1" applyAlignment="1">
      <x:alignment vertical="center"/>
    </x:xf>
    <x:xf numFmtId="201" fontId="41" fillId="18" borderId="148" xfId="0" applyNumberFormat="1" applyFont="1" applyFill="1" applyBorder="1" applyAlignment="1">
      <x:alignment vertical="center"/>
    </x:xf>
    <x:xf numFmtId="166" fontId="42" fillId="0" borderId="148" xfId="0" applyNumberFormat="1" applyFont="1" applyFill="1" applyBorder="1" applyAlignment="1">
      <x:alignment vertical="center"/>
    </x:xf>
    <x:xf numFmtId="0" fontId="42" fillId="19" borderId="148" xfId="0" applyNumberFormat="1" applyFont="1" applyFill="1" applyBorder="1" applyAlignment="1">
      <x:alignment vertical="center"/>
    </x:xf>
    <x:xf numFmtId="203" fontId="42" fillId="19" borderId="148" xfId="0" applyNumberFormat="1" applyFont="1" applyFill="1" applyBorder="1" applyAlignment="1">
      <x:alignment vertical="center"/>
    </x:xf>
    <x:xf numFmtId="166" fontId="41" fillId="0" borderId="148" xfId="0" applyNumberFormat="1" applyFont="1" applyFill="1" applyBorder="1" applyAlignment="1">
      <x:alignment vertical="center"/>
    </x:xf>
    <x:xf numFmtId="203" fontId="41" fillId="0" borderId="148" xfId="0" applyNumberFormat="1" applyFont="1" applyFill="1" applyBorder="1" applyAlignment="1">
      <x:alignment vertical="center"/>
    </x:xf>
    <x:xf numFmtId="0" fontId="41" fillId="19" borderId="148" xfId="0" applyNumberFormat="1" applyFont="1" applyFill="1" applyBorder="1" applyAlignment="1">
      <x:alignment vertical="center"/>
    </x:xf>
    <x:xf numFmtId="203" fontId="41" fillId="19" borderId="148" xfId="0" applyNumberFormat="1" applyFont="1" applyFill="1" applyBorder="1" applyAlignment="1">
      <x:alignment vertical="center"/>
    </x:xf>
    <x:xf numFmtId="204" fontId="42" fillId="0" borderId="148" xfId="0" applyNumberFormat="1" applyFont="1" applyFill="1" applyBorder="1" applyAlignment="1">
      <x:alignment vertical="center"/>
    </x:xf>
    <x:xf numFmtId="203" fontId="42" fillId="0" borderId="148" xfId="0" applyNumberFormat="1" applyFont="1" applyFill="1" applyBorder="1" applyAlignment="1">
      <x:alignment vertical="center" wrapText="1"/>
    </x:xf>
    <x:xf numFmtId="201" fontId="42" fillId="0" borderId="148" xfId="0" applyNumberFormat="1" applyFont="1" applyFill="1" applyBorder="1" applyAlignment="1">
      <x:alignment vertical="center" wrapText="1"/>
    </x:xf>
    <x:xf numFmtId="0" fontId="42" fillId="18" borderId="148" xfId="0" applyNumberFormat="1" applyFont="1" applyFill="1" applyBorder="1" applyAlignment="1">
      <x:alignment vertical="center" wrapText="1"/>
    </x:xf>
    <x:xf numFmtId="203" fontId="41" fillId="18" borderId="148" xfId="0" applyNumberFormat="1" applyFont="1" applyFill="1" applyBorder="1" applyAlignment="1">
      <x:alignment vertical="center" wrapText="1"/>
    </x:xf>
    <x:xf numFmtId="201" fontId="41" fillId="18" borderId="148" xfId="0" applyNumberFormat="1" applyFont="1" applyFill="1" applyBorder="1" applyAlignment="1">
      <x:alignment vertical="center" wrapText="1"/>
    </x:xf>
    <x:xf numFmtId="0" fontId="41" fillId="0" borderId="148" xfId="0" applyNumberFormat="1" applyFont="1" applyFill="1" applyBorder="1" applyAlignment="1">
      <x:alignment vertical="center" wrapText="1"/>
    </x:xf>
    <x:xf numFmtId="166" fontId="41" fillId="0" borderId="148" xfId="0" applyNumberFormat="1" applyFont="1" applyFill="1" applyBorder="1" applyAlignment="1">
      <x:alignment vertical="center" wrapText="1"/>
    </x:xf>
    <x:xf numFmtId="203" fontId="41" fillId="0" borderId="148" xfId="0" applyNumberFormat="1" applyFont="1" applyFill="1" applyBorder="1" applyAlignment="1">
      <x:alignment vertical="center" wrapText="1"/>
    </x:xf>
    <x:xf numFmtId="0" fontId="41" fillId="19" borderId="148" xfId="0" applyNumberFormat="1" applyFont="1" applyFill="1" applyBorder="1" applyAlignment="1">
      <x:alignment vertical="center" wrapText="1"/>
    </x:xf>
    <x:xf numFmtId="203" fontId="41" fillId="19" borderId="148" xfId="0" applyNumberFormat="1" applyFont="1" applyFill="1" applyBorder="1" applyAlignment="1">
      <x:alignment vertical="center" wrapText="1"/>
    </x:xf>
    <x:xf numFmtId="204" fontId="42" fillId="0" borderId="148" xfId="0" applyNumberFormat="1" applyFont="1" applyFill="1" applyBorder="1" applyAlignment="1">
      <x:alignment vertical="center" wrapText="1"/>
    </x:xf>
    <x:xf numFmtId="203" fontId="7" fillId="0" borderId="3" xfId="0" applyNumberFormat="1" applyFont="1" applyFill="1" applyBorder="1" applyAlignment="1">
      <x:alignment horizontal="right"/>
    </x:xf>
    <x:xf numFmtId="203" fontId="9" fillId="5" borderId="5" xfId="0" applyNumberFormat="1" applyFont="1" applyFill="1" applyBorder="1" applyAlignment="1">
      <x:alignment horizontal="right"/>
    </x:xf>
    <x:xf numFmtId="203" fontId="9" fillId="4" borderId="3" xfId="0" applyNumberFormat="1" applyFont="1" applyFill="1" applyBorder="1" applyAlignment="1">
      <x:alignment horizontal="right" wrapText="1"/>
    </x:xf>
    <x:xf numFmtId="203" fontId="9" fillId="5" borderId="12" xfId="0" applyNumberFormat="1" applyFont="1" applyFill="1" applyBorder="1" applyAlignment="1">
      <x:alignment horizontal="right"/>
    </x:xf>
    <x:xf numFmtId="203" fontId="7" fillId="2" borderId="0" xfId="0" applyNumberFormat="1" applyFont="1" applyFill="1" applyBorder="1" applyAlignment="1">
      <x:alignment horizontal="right"/>
    </x:xf>
    <x:xf numFmtId="203" fontId="9" fillId="5" borderId="10" xfId="0" applyNumberFormat="1" applyFont="1" applyFill="1" applyBorder="1" applyAlignment="1">
      <x:alignment horizontal="right" vertical="center" wrapText="1"/>
    </x:xf>
    <x:xf numFmtId="203" fontId="9" fillId="5" borderId="13" xfId="0" applyNumberFormat="1" applyFont="1" applyFill="1" applyBorder="1" applyAlignment="1">
      <x:alignment horizontal="right" vertical="center" wrapText="1"/>
    </x:xf>
    <x:xf numFmtId="203" fontId="7" fillId="0" borderId="12" xfId="0" applyNumberFormat="1" applyFont="1" applyFill="1" applyBorder="1" applyAlignment="1">
      <x:alignment horizontal="right"/>
    </x:xf>
    <x:xf numFmtId="203" fontId="9" fillId="5" borderId="12" xfId="0" applyNumberFormat="1" applyFont="1" applyFill="1" applyBorder="1" applyAlignment="1">
      <x:alignment horizontal="right" wrapText="1"/>
    </x:xf>
    <x:xf numFmtId="203" fontId="9" fillId="2" borderId="6" xfId="0" applyNumberFormat="1" applyFont="1" applyFill="1" applyBorder="1" applyAlignment="1">
      <x:alignment horizontal="right" wrapText="1"/>
    </x:xf>
    <x:xf numFmtId="203" fontId="9" fillId="2" borderId="6" xfId="0" applyNumberFormat="1" applyFont="1" applyFill="1" applyBorder="1" applyAlignment="1">
      <x:alignment horizontal="right"/>
    </x:xf>
    <x:xf numFmtId="203" fontId="9" fillId="4" borderId="7" xfId="0" applyNumberFormat="1" applyFont="1" applyFill="1" applyBorder="1" applyAlignment="1">
      <x:alignment horizontal="right" wrapText="1"/>
    </x:xf>
    <x:xf numFmtId="203" fontId="9" fillId="4" borderId="7" xfId="0" applyNumberFormat="1" applyFont="1" applyFill="1" applyBorder="1" applyAlignment="1">
      <x:alignment horizontal="right"/>
    </x:xf>
    <x:xf numFmtId="0" fontId="9" fillId="4" borderId="8" xfId="0" applyNumberFormat="1" applyFont="1" applyFill="1" applyBorder="1" applyAlignment="1">
      <x:alignment horizontal="center" vertical="center" wrapText="1"/>
    </x:xf>
    <x:xf numFmtId="0" fontId="9" fillId="4" borderId="10" xfId="0" applyNumberFormat="1" applyFont="1" applyFill="1" applyBorder="1" applyAlignment="1">
      <x:alignment horizontal="center" vertical="center" wrapText="1"/>
    </x:xf>
    <x:xf numFmtId="0" fontId="9" fillId="4" borderId="12" xfId="0" applyNumberFormat="1" applyFont="1" applyFill="1" applyBorder="1" applyAlignment="1">
      <x:alignment horizontal="center" vertical="center" wrapText="1"/>
    </x:xf>
    <x:xf numFmtId="0" fontId="9" fillId="5" borderId="6" xfId="0" applyNumberFormat="1" applyFont="1" applyFill="1" applyBorder="1" applyAlignment="1">
      <x:alignment horizontal="left" vertical="center" wrapText="1"/>
    </x:xf>
    <x:xf numFmtId="169" fontId="9" fillId="5" borderId="6" xfId="0" applyNumberFormat="1" applyFont="1" applyFill="1" applyBorder="1" applyAlignment="1">
      <x:alignment horizontal="right" vertical="center" wrapText="1"/>
    </x:xf>
    <x:xf numFmtId="169" fontId="9" fillId="5" borderId="0" xfId="0" applyNumberFormat="1" applyFont="1" applyFill="1" applyBorder="1" applyAlignment="1">
      <x:alignment horizontal="right" vertical="center" wrapText="1"/>
    </x:xf>
    <x:xf numFmtId="169" fontId="9" fillId="5" borderId="9" xfId="0" applyNumberFormat="1" applyFont="1" applyFill="1" applyBorder="1" applyAlignment="1">
      <x:alignment horizontal="right" vertical="center" wrapText="1"/>
    </x:xf>
    <x:xf numFmtId="0" fontId="17" fillId="10" borderId="4" xfId="0" applyNumberFormat="1" applyFont="1" applyFill="1" applyBorder="1" applyAlignment="1">
      <x:alignment horizontal="left" vertical="center" wrapText="1"/>
    </x:xf>
    <x:xf numFmtId="203" fontId="7" fillId="0" borderId="3" xfId="0" applyNumberFormat="1" applyFont="1" applyFill="1" applyBorder="1" applyAlignment="1">
      <x:alignment horizontal="right" wrapText="1"/>
    </x:xf>
    <x:xf numFmtId="203" fontId="9" fillId="5" borderId="5" xfId="0" applyNumberFormat="1" applyFont="1" applyFill="1" applyBorder="1" applyAlignment="1">
      <x:alignment horizontal="right" wrapText="1"/>
    </x:xf>
    <x:xf numFmtId="0" fontId="17" fillId="10" borderId="3" xfId="0" applyNumberFormat="1" applyFont="1" applyFill="1" applyBorder="1" applyAlignment="1">
      <x:alignment horizontal="left" vertical="center" wrapText="1"/>
    </x:xf>
    <x:xf numFmtId="0" fontId="16" fillId="10" borderId="3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wrapText="1"/>
    </x:xf>
    <x:xf numFmtId="203" fontId="7" fillId="2" borderId="0" xfId="0" applyNumberFormat="1" applyFont="1" applyFill="1" applyBorder="1" applyAlignment="1">
      <x:alignment horizontal="right" wrapText="1"/>
    </x:xf>
    <x:xf numFmtId="0" fontId="9" fillId="5" borderId="11" xfId="0" applyNumberFormat="1" applyFont="1" applyFill="1" applyBorder="1" applyAlignment="1">
      <x:alignment horizontal="left" vertical="center" wrapText="1"/>
    </x:xf>
    <x:xf numFmtId="0" fontId="17" fillId="10" borderId="14" xfId="0" applyNumberFormat="1" applyFont="1" applyFill="1" applyBorder="1" applyAlignment="1">
      <x:alignment horizontal="left" vertical="center" wrapText="1"/>
    </x:xf>
    <x:xf numFmtId="203" fontId="7" fillId="0" borderId="12" xfId="0" applyNumberFormat="1" applyFont="1" applyFill="1" applyBorder="1" applyAlignment="1">
      <x:alignment horizontal="right" wrapText="1"/>
    </x:xf>
    <x:xf numFmtId="0" fontId="17" fillId="10" borderId="15" xfId="0" applyNumberFormat="1" applyFont="1" applyFill="1" applyBorder="1" applyAlignment="1">
      <x:alignment horizontal="left" vertical="center" wrapText="1"/>
    </x:xf>
    <x:xf numFmtId="0" fontId="17" fillId="10" borderId="12" xfId="0" applyNumberFormat="1" applyFont="1" applyFill="1" applyBorder="1" applyAlignment="1">
      <x:alignment horizontal="left" vertical="center" wrapText="1"/>
    </x:xf>
    <x:xf numFmtId="0" fontId="36" fillId="10" borderId="12" xfId="0" applyNumberFormat="1" applyFont="1" applyFill="1" applyBorder="1" applyAlignment="1">
      <x:alignment horizontal="right" vertical="center" wrapText="1"/>
    </x:xf>
    <x:xf numFmtId="0" fontId="16" fillId="10" borderId="16" xfId="0" applyNumberFormat="1" applyFont="1" applyFill="1" applyBorder="1" applyAlignment="1">
      <x:alignment horizontal="left" vertical="center" wrapText="1"/>
    </x:xf>
    <x:xf numFmtId="0" fontId="16" fillId="2" borderId="6" xfId="0" applyNumberFormat="1" applyFont="1" applyFill="1" applyBorder="1" applyAlignment="1">
      <x:alignment horizontal="left" vertical="center" wrapText="1"/>
    </x:xf>
    <x:xf numFmtId="0" fontId="16" fillId="10" borderId="7" xfId="0" applyNumberFormat="1" applyFont="1" applyFill="1" applyBorder="1" applyAlignment="1">
      <x:alignment horizontal="left" vertical="center" wrapText="1"/>
    </x:xf>
    <x:xf numFmtId="0" fontId="43" fillId="10" borderId="4" xfId="0" applyNumberFormat="1" applyFont="1" applyFill="1" applyBorder="1" applyAlignment="1">
      <x:alignment horizontal="left" vertical="center" wrapText="1"/>
    </x:xf>
    <x:xf numFmtId="0" fontId="43" fillId="10" borderId="3" xfId="0" applyNumberFormat="1" applyFont="1" applyFill="1" applyBorder="1" applyAlignment="1">
      <x:alignment horizontal="left" vertical="center" wrapText="1"/>
    </x:xf>
    <x:xf numFmtId="0" fontId="43" fillId="10" borderId="15" xfId="0" applyNumberFormat="1" applyFont="1" applyFill="1" applyBorder="1" applyAlignment="1">
      <x:alignment horizontal="left" vertical="center" wrapText="1"/>
    </x:xf>
    <x:xf numFmtId="0" fontId="43" fillId="10" borderId="12" xfId="0" applyNumberFormat="1" applyFont="1" applyFill="1" applyBorder="1" applyAlignment="1">
      <x:alignment horizontal="left" vertical="center" wrapText="1"/>
    </x:xf>
    <x:xf numFmtId="0" fontId="44" fillId="10" borderId="12" xfId="0" applyNumberFormat="1" applyFont="1" applyFill="1" applyBorder="1" applyAlignment="1">
      <x:alignment horizontal="right" vertical="center" wrapText="1"/>
    </x:xf>
    <x:xf numFmtId="0" fontId="16" fillId="18" borderId="3" xfId="0" applyNumberFormat="1" applyFont="1" applyFill="1" applyBorder="1" applyAlignment="1">
      <x:alignment horizontal="left" vertical="center" wrapText="1"/>
    </x:xf>
    <x:xf numFmtId="203" fontId="9" fillId="18" borderId="3" xfId="0" applyNumberFormat="1" applyFont="1" applyFill="1" applyBorder="1" applyAlignment="1">
      <x:alignment horizontal="right" wrapText="1"/>
    </x:xf>
    <x:xf numFmtId="203" fontId="9" fillId="18" borderId="12" xfId="0" applyNumberFormat="1" applyFont="1" applyFill="1" applyBorder="1" applyAlignment="1">
      <x:alignment horizontal="right" wrapText="1"/>
    </x:xf>
    <x:xf numFmtId="0" fontId="16" fillId="18" borderId="16" xfId="0" applyNumberFormat="1" applyFont="1" applyFill="1" applyBorder="1" applyAlignment="1">
      <x:alignment horizontal="left" vertical="center" wrapText="1"/>
    </x:xf>
    <x:xf numFmtId="0" fontId="16" fillId="19" borderId="7" xfId="0" applyNumberFormat="1" applyFont="1" applyFill="1" applyBorder="1" applyAlignment="1">
      <x:alignment horizontal="left" vertical="center" wrapText="1"/>
    </x:xf>
    <x:xf numFmtId="203" fontId="9" fillId="19" borderId="7" xfId="0" applyNumberFormat="1" applyFont="1" applyFill="1" applyBorder="1" applyAlignment="1">
      <x:alignment horizontal="right" wrapText="1"/>
    </x:xf>
    <x:xf numFmtId="0" fontId="45" fillId="18" borderId="3" xfId="0" applyNumberFormat="1" applyFont="1" applyFill="1" applyBorder="1" applyAlignment="1">
      <x:alignment horizontal="left" vertical="center" wrapText="1"/>
    </x:xf>
    <x:xf numFmtId="203" fontId="45" fillId="18" borderId="3" xfId="0" applyNumberFormat="1" applyFont="1" applyFill="1" applyBorder="1" applyAlignment="1">
      <x:alignment horizontal="right" wrapText="1"/>
    </x:xf>
    <x:xf numFmtId="203" fontId="45" fillId="18" borderId="12" xfId="0" applyNumberFormat="1" applyFont="1" applyFill="1" applyBorder="1" applyAlignment="1">
      <x:alignment horizontal="right" wrapText="1"/>
    </x:xf>
    <x:xf numFmtId="0" fontId="45" fillId="2" borderId="0" xfId="0" applyNumberFormat="1" applyFont="1" applyFill="1" applyBorder="1" applyAlignment="1">
      <x:alignment wrapText="1"/>
    </x:xf>
    <x:xf numFmtId="203" fontId="45" fillId="2" borderId="0" xfId="0" applyNumberFormat="1" applyFont="1" applyFill="1" applyBorder="1" applyAlignment="1">
      <x:alignment horizontal="right" wrapText="1"/>
    </x:xf>
    <x:xf numFmtId="0" fontId="45" fillId="5" borderId="11" xfId="0" applyNumberFormat="1" applyFont="1" applyFill="1" applyBorder="1" applyAlignment="1">
      <x:alignment horizontal="left" vertical="center" wrapText="1"/>
    </x:xf>
    <x:xf numFmtId="203" fontId="45" fillId="5" borderId="10" xfId="0" applyNumberFormat="1" applyFont="1" applyFill="1" applyBorder="1" applyAlignment="1">
      <x:alignment horizontal="right" vertical="center" wrapText="1"/>
    </x:xf>
    <x:xf numFmtId="203" fontId="45" fillId="5" borderId="13" xfId="0" applyNumberFormat="1" applyFont="1" applyFill="1" applyBorder="1" applyAlignment="1">
      <x:alignment horizontal="right" vertical="center" wrapText="1"/>
    </x:xf>
    <x:xf numFmtId="0" fontId="45" fillId="10" borderId="14" xfId="0" applyNumberFormat="1" applyFont="1" applyFill="1" applyBorder="1" applyAlignment="1">
      <x:alignment horizontal="left" vertical="center" wrapText="1"/>
    </x:xf>
    <x:xf numFmtId="203" fontId="45" fillId="0" borderId="12" xfId="0" applyNumberFormat="1" applyFont="1" applyFill="1" applyBorder="1" applyAlignment="1">
      <x:alignment horizontal="right" wrapText="1"/>
    </x:xf>
    <x:xf numFmtId="203" fontId="45" fillId="5" borderId="12" xfId="0" applyNumberFormat="1" applyFont="1" applyFill="1" applyBorder="1" applyAlignment="1">
      <x:alignment horizontal="right" wrapText="1"/>
    </x:xf>
    <x:xf numFmtId="0" fontId="45" fillId="10" borderId="15" xfId="0" applyNumberFormat="1" applyFont="1" applyFill="1" applyBorder="1" applyAlignment="1">
      <x:alignment horizontal="left" vertical="center" wrapText="1"/>
    </x:xf>
    <x:xf numFmtId="0" fontId="45" fillId="10" borderId="12" xfId="0" applyNumberFormat="1" applyFont="1" applyFill="1" applyBorder="1" applyAlignment="1">
      <x:alignment horizontal="left" vertical="center" wrapText="1"/>
    </x:xf>
    <x:xf numFmtId="0" fontId="46" fillId="10" borderId="12" xfId="0" applyNumberFormat="1" applyFont="1" applyFill="1" applyBorder="1" applyAlignment="1">
      <x:alignment horizontal="right" vertical="center" wrapText="1"/>
    </x:xf>
    <x:xf numFmtId="0" fontId="45" fillId="18" borderId="16" xfId="0" applyNumberFormat="1" applyFont="1" applyFill="1" applyBorder="1" applyAlignment="1">
      <x:alignment horizontal="left" vertical="center" wrapText="1"/>
    </x:xf>
    <x:xf numFmtId="0" fontId="45" fillId="2" borderId="6" xfId="0" applyNumberFormat="1" applyFont="1" applyFill="1" applyBorder="1" applyAlignment="1">
      <x:alignment horizontal="left" vertical="center" wrapText="1"/>
    </x:xf>
    <x:xf numFmtId="203" fontId="45" fillId="2" borderId="6" xfId="0" applyNumberFormat="1" applyFont="1" applyFill="1" applyBorder="1" applyAlignment="1">
      <x:alignment horizontal="right" wrapText="1"/>
    </x:xf>
    <x:xf numFmtId="0" fontId="45" fillId="19" borderId="7" xfId="0" applyNumberFormat="1" applyFont="1" applyFill="1" applyBorder="1" applyAlignment="1">
      <x:alignment horizontal="left" vertical="center" wrapText="1"/>
    </x:xf>
    <x:xf numFmtId="203" fontId="45" fillId="19" borderId="7" xfId="0" applyNumberFormat="1" applyFont="1" applyFill="1" applyBorder="1" applyAlignment="1">
      <x:alignment horizontal="right" wrapText="1"/>
    </x:xf>
    <x:xf numFmtId="203" fontId="0" fillId="3" borderId="121" xfId="0" applyNumberFormat="1" applyFont="1" applyFill="1" applyBorder="1" applyAlignment="1">
      <x:alignment horizontal="center" vertical="center"/>
    </x:xf>
    <x:xf numFmtId="203" fontId="0" fillId="3" borderId="128" xfId="0" applyNumberFormat="1" applyFont="1" applyFill="1" applyBorder="1" applyAlignment="1">
      <x:alignment horizontal="center" vertical="center"/>
    </x:xf>
    <x:xf numFmtId="203" fontId="0" fillId="3" borderId="103" xfId="0" applyNumberFormat="1" applyFont="1" applyFill="1" applyBorder="1" applyAlignment="1">
      <x:alignment horizontal="center" vertical="center" wrapText="1"/>
    </x:xf>
    <x:xf numFmtId="203" fontId="0" fillId="3" borderId="34" xfId="0" applyNumberFormat="1" applyFont="1" applyFill="1" applyBorder="1" applyAlignment="1">
      <x:alignment horizontal="center" vertical="center"/>
    </x:xf>
    <x:xf numFmtId="203" fontId="0" fillId="3" borderId="50" xfId="0" applyNumberFormat="1" applyFont="1" applyFill="1" applyBorder="1" applyAlignment="1">
      <x:alignment horizontal="center" vertical="center"/>
    </x:xf>
    <x:xf numFmtId="203" fontId="0" fillId="3" borderId="142" xfId="0" applyNumberFormat="1" applyFont="1" applyFill="1" applyBorder="1"/>
    <x:xf numFmtId="203" fontId="0" fillId="3" borderId="105" xfId="0" applyNumberFormat="1" applyFont="1" applyFill="1" applyBorder="1" applyAlignment="1">
      <x:alignment horizontal="center" vertical="center" wrapText="1"/>
    </x:xf>
    <x:xf numFmtId="203" fontId="0" fillId="3" borderId="39" xfId="0" applyNumberFormat="1" applyFont="1" applyFill="1" applyBorder="1" applyAlignment="1">
      <x:alignment horizontal="center" vertical="center"/>
    </x:xf>
    <x:xf numFmtId="203" fontId="0" fillId="3" borderId="22" xfId="0" applyNumberFormat="1" applyFont="1" applyFill="1" applyBorder="1" applyAlignment="1">
      <x:alignment horizontal="center" vertical="center"/>
    </x:xf>
    <x:xf numFmtId="203" fontId="0" fillId="3" borderId="143" xfId="0" applyNumberFormat="1" applyFont="1" applyFill="1" applyBorder="1"/>
    <x:xf numFmtId="203" fontId="0" fillId="3" borderId="106" xfId="0" applyNumberFormat="1" applyFont="1" applyFill="1" applyBorder="1" applyAlignment="1">
      <x:alignment horizontal="center" vertical="center" wrapText="1"/>
    </x:xf>
    <x:xf numFmtId="203" fontId="0" fillId="3" borderId="144" xfId="0" applyNumberFormat="1" applyFont="1" applyFill="1" applyBorder="1" applyAlignment="1">
      <x:alignment vertical="center"/>
    </x:xf>
    <x:xf numFmtId="203" fontId="0" fillId="0" borderId="40" xfId="0" applyNumberFormat="1" applyFont="1" applyFill="1" applyBorder="1" applyAlignment="1">
      <x:alignment horizontal="center" vertical="center"/>
    </x:xf>
    <x:xf numFmtId="203" fontId="0" fillId="0" borderId="134" xfId="0" applyNumberFormat="1" applyFont="1" applyFill="1" applyBorder="1" applyAlignment="1">
      <x:alignment horizontal="center" vertical="center"/>
    </x:xf>
    <x:xf numFmtId="203" fontId="0" fillId="0" borderId="129" xfId="0" applyNumberFormat="1" applyFont="1" applyFill="1" applyBorder="1" applyAlignment="1">
      <x:alignment horizontal="center" vertical="center"/>
    </x:xf>
    <x:xf numFmtId="203" fontId="0" fillId="0" borderId="107" xfId="0" applyNumberFormat="1" applyFont="1" applyFill="1" applyBorder="1" applyAlignment="1">
      <x:alignment horizontal="center" vertical="center"/>
    </x:xf>
    <x:xf numFmtId="203" fontId="0" fillId="0" borderId="24" xfId="0" applyNumberFormat="1" applyFont="1" applyFill="1" applyBorder="1"/>
    <x:xf numFmtId="203" fontId="0" fillId="0" borderId="41" xfId="0" applyNumberFormat="1" applyFont="1" applyFill="1" applyBorder="1"/>
    <x:xf numFmtId="203" fontId="0" fillId="0" borderId="139" xfId="0" applyNumberFormat="1" applyFont="1" applyFill="1" applyBorder="1"/>
    <x:xf numFmtId="203" fontId="0" fillId="0" borderId="141" xfId="0" applyNumberFormat="1" applyFont="1" applyFill="1" applyBorder="1"/>
    <x:xf numFmtId="203" fontId="0" fillId="0" borderId="44" xfId="0" applyNumberFormat="1" applyFont="1" applyFill="1" applyBorder="1" applyAlignment="1">
      <x:alignment horizontal="center" vertical="center"/>
    </x:xf>
    <x:xf numFmtId="203" fontId="0" fillId="0" borderId="45" xfId="0" applyNumberFormat="1" applyFont="1" applyFill="1" applyBorder="1" applyAlignment="1">
      <x:alignment horizontal="center" vertical="center"/>
    </x:xf>
    <x:xf numFmtId="203" fontId="0" fillId="0" borderId="26" xfId="0" applyNumberFormat="1" applyFont="1" applyFill="1" applyBorder="1" applyAlignment="1">
      <x:alignment horizontal="center" vertical="center"/>
    </x:xf>
    <x:xf numFmtId="203" fontId="0" fillId="0" borderId="121" xfId="0" applyNumberFormat="1" applyFont="1" applyFill="1" applyBorder="1" applyAlignment="1">
      <x:alignment horizontal="center" vertical="center"/>
    </x:xf>
    <x:xf numFmtId="203" fontId="0" fillId="0" borderId="130" xfId="0" applyNumberFormat="1" applyFont="1" applyFill="1" applyBorder="1" applyAlignment="1">
      <x:alignment horizontal="center" vertical="center"/>
    </x:xf>
    <x:xf numFmtId="203" fontId="0" fillId="0" borderId="108" xfId="0" applyNumberFormat="1" applyFont="1" applyFill="1" applyBorder="1" applyAlignment="1">
      <x:alignment horizontal="center" vertical="center"/>
    </x:xf>
    <x:xf numFmtId="203" fontId="0" fillId="0" borderId="13" xfId="0" applyNumberFormat="1" applyFont="1" applyFill="1" applyBorder="1"/>
    <x:xf numFmtId="203" fontId="0" fillId="0" borderId="12" xfId="0" applyNumberFormat="1" applyFont="1" applyFill="1" applyBorder="1"/>
    <x:xf numFmtId="203" fontId="0" fillId="0" borderId="11" xfId="0" applyNumberFormat="1" applyFont="1" applyFill="1" applyBorder="1"/>
    <x:xf numFmtId="203" fontId="0" fillId="0" borderId="145" xfId="0" applyNumberFormat="1" applyFont="1" applyFill="1" applyBorder="1"/>
    <x:xf numFmtId="203" fontId="0" fillId="3" borderId="49" xfId="0" applyNumberFormat="1" applyFont="1" applyFill="1" applyBorder="1" applyAlignment="1">
      <x:alignment horizontal="center" vertical="center"/>
    </x:xf>
    <x:xf numFmtId="203" fontId="0" fillId="3" borderId="135" xfId="0" applyNumberFormat="1" applyFont="1" applyFill="1" applyBorder="1" applyAlignment="1">
      <x:alignment horizontal="center" vertical="center"/>
    </x:xf>
    <x:xf numFmtId="203" fontId="0" fillId="3" borderId="131" xfId="0" applyNumberFormat="1" applyFont="1" applyFill="1" applyBorder="1" applyAlignment="1">
      <x:alignment horizontal="center" vertical="center"/>
    </x:xf>
    <x:xf numFmtId="203" fontId="0" fillId="3" borderId="110" xfId="0" applyNumberFormat="1" applyFont="1" applyFill="1" applyBorder="1" applyAlignment="1">
      <x:alignment horizontal="center" vertical="center" wrapText="1"/>
    </x:xf>
    <x:xf numFmtId="203" fontId="0" fillId="3" borderId="13" xfId="0" applyNumberFormat="1" applyFont="1" applyFill="1" applyBorder="1" applyAlignment="1">
      <x:alignment horizontal="center" vertical="center"/>
    </x:xf>
    <x:xf numFmtId="203" fontId="0" fillId="3" borderId="10" xfId="0" applyNumberFormat="1" applyFont="1" applyFill="1" applyBorder="1" applyAlignment="1">
      <x:alignment horizontal="center" vertical="center"/>
    </x:xf>
    <x:xf numFmtId="203" fontId="0" fillId="3" borderId="104" xfId="0" applyNumberFormat="1" applyFont="1" applyFill="1" applyBorder="1" applyAlignment="1">
      <x:alignment horizontal="center" vertical="center"/>
    </x:xf>
    <x:xf numFmtId="203" fontId="0" fillId="3" borderId="111" xfId="0" applyNumberFormat="1" applyFont="1" applyFill="1" applyBorder="1" applyAlignment="1">
      <x:alignment horizontal="center" vertical="center" wrapText="1"/>
    </x:xf>
    <x:xf numFmtId="203" fontId="0" fillId="0" borderId="50" xfId="0" applyNumberFormat="1" applyFont="1" applyFill="1" applyBorder="1" applyAlignment="1">
      <x:alignment horizontal="center" vertical="center"/>
    </x:xf>
    <x:xf numFmtId="203" fontId="0" fillId="0" borderId="22" xfId="0" applyNumberFormat="1" applyFont="1" applyFill="1" applyBorder="1" applyAlignment="1">
      <x:alignment horizontal="center" vertical="center"/>
    </x:xf>
    <x:xf numFmtId="203" fontId="0" fillId="0" borderId="104" xfId="0" applyNumberFormat="1" applyFont="1" applyFill="1" applyBorder="1" applyAlignment="1">
      <x:alignment horizontal="center" vertical="center"/>
    </x:xf>
    <x:xf numFmtId="203" fontId="0" fillId="0" borderId="112" xfId="0" applyNumberFormat="1" applyFont="1" applyFill="1" applyBorder="1" applyAlignment="1">
      <x:alignment horizontal="center" vertical="center"/>
    </x:xf>
    <x:xf numFmtId="203" fontId="0" fillId="0" borderId="51" xfId="0" applyNumberFormat="1" applyFont="1" applyFill="1" applyBorder="1"/>
    <x:xf numFmtId="203" fontId="0" fillId="0" borderId="142" xfId="0" applyNumberFormat="1" applyFont="1" applyFill="1" applyBorder="1"/>
    <x:xf numFmtId="203" fontId="0" fillId="4" borderId="13" xfId="0" applyNumberFormat="1" applyFont="1" applyFill="1" applyBorder="1"/>
    <x:xf numFmtId="203" fontId="0" fillId="4" borderId="12" xfId="0" applyNumberFormat="1" applyFont="1" applyFill="1" applyBorder="1"/>
    <x:xf numFmtId="203" fontId="0" fillId="4" borderId="11" xfId="0" applyNumberFormat="1" applyFont="1" applyFill="1" applyBorder="1"/>
    <x:xf numFmtId="203" fontId="0" fillId="4" borderId="109" xfId="0" applyNumberFormat="1" applyFont="1" applyFill="1" applyBorder="1"/>
    <x:xf numFmtId="203" fontId="0" fillId="4" borderId="113" xfId="0" applyNumberFormat="1" applyFont="1" applyFill="1" applyBorder="1"/>
    <x:xf numFmtId="203" fontId="0" fillId="4" borderId="10" xfId="0" applyNumberFormat="1" applyFont="1" applyFill="1" applyBorder="1"/>
    <x:xf numFmtId="203" fontId="0" fillId="4" borderId="145" xfId="0" applyNumberFormat="1" applyFont="1" applyFill="1" applyBorder="1"/>
    <x:xf numFmtId="203" fontId="0" fillId="2" borderId="0" xfId="0" applyNumberFormat="1" applyFont="1" applyFill="1" applyBorder="1"/>
    <x:xf numFmtId="203" fontId="0" fillId="2" borderId="115" xfId="0" applyNumberFormat="1" applyFont="1" applyFill="1" applyBorder="1"/>
    <x:xf numFmtId="203" fontId="0" fillId="2" borderId="114" xfId="0" applyNumberFormat="1" applyFont="1" applyFill="1" applyBorder="1"/>
    <x:xf numFmtId="203" fontId="0" fillId="2" borderId="143" xfId="0" applyNumberFormat="1" applyFont="1" applyFill="1" applyBorder="1"/>
    <x:xf numFmtId="203" fontId="0" fillId="4" borderId="117" xfId="0" applyNumberFormat="1" applyFont="1" applyFill="1" applyBorder="1"/>
    <x:xf numFmtId="203" fontId="0" fillId="4" borderId="133" xfId="0" applyNumberFormat="1" applyFont="1" applyFill="1" applyBorder="1"/>
    <x:xf numFmtId="203" fontId="0" fillId="4" borderId="118" xfId="0" applyNumberFormat="1" applyFont="1" applyFill="1" applyBorder="1"/>
    <x:xf numFmtId="203" fontId="0" fillId="4" borderId="116" xfId="0" applyNumberFormat="1" applyFont="1" applyFill="1" applyBorder="1"/>
    <x:xf numFmtId="203" fontId="14" fillId="4" borderId="136" xfId="0" applyNumberFormat="1" applyFont="1" applyFill="1" applyBorder="1"/>
    <x:xf numFmtId="203" fontId="14" fillId="4" borderId="146" xfId="0" applyNumberFormat="1" applyFont="1" applyFill="1" applyBorder="1"/>
    <x:xf numFmtId="0" fontId="14" fillId="4" borderId="18" xfId="0" applyNumberFormat="1" applyFont="1" applyFill="1" applyBorder="1" applyAlignment="1">
      <x:alignment horizontal="center" vertical="center" wrapText="1"/>
    </x:xf>
    <x:xf numFmtId="0" fontId="0" fillId="4" borderId="21" xfId="0" applyNumberFormat="1" applyFont="1" applyFill="1" applyBorder="1" applyAlignment="1">
      <x:alignment horizontal="center" vertical="center" wrapText="1"/>
    </x:xf>
    <x:xf numFmtId="0" fontId="14" fillId="4" borderId="23" xfId="0" applyNumberFormat="1" applyFont="1" applyFill="1" applyBorder="1" applyAlignment="1">
      <x:alignment horizontal="center" vertical="center" wrapText="1"/>
    </x:xf>
    <x:xf numFmtId="0" fontId="14" fillId="4" borderId="24" xfId="0" applyNumberFormat="1" applyFont="1" applyFill="1" applyBorder="1" applyAlignment="1">
      <x:alignment horizontal="center" vertical="center" wrapText="1"/>
    </x:xf>
    <x:xf numFmtId="0" fontId="0" fillId="4" borderId="25" xfId="0" applyNumberFormat="1" applyFont="1" applyFill="1" applyBorder="1" applyAlignment="1">
      <x:alignment horizontal="center" vertical="center" wrapText="1"/>
    </x:xf>
    <x:xf numFmtId="0" fontId="0" fillId="4" borderId="100" xfId="0" applyNumberFormat="1" applyFont="1" applyFill="1" applyBorder="1" applyAlignment="1">
      <x:alignment horizontal="center" vertical="center" wrapText="1"/>
    </x:xf>
    <x:xf numFmtId="0" fontId="0" fillId="4" borderId="124" xfId="0" applyNumberFormat="1" applyFont="1" applyFill="1" applyBorder="1" applyAlignment="1">
      <x:alignment horizontal="center" wrapText="1"/>
    </x:xf>
    <x:xf numFmtId="0" fontId="0" fillId="4" borderId="125" xfId="0" applyNumberFormat="1" applyFont="1" applyFill="1" applyBorder="1" applyAlignment="1">
      <x:alignment horizontal="center" wrapText="1"/>
    </x:xf>
    <x:xf numFmtId="0" fontId="0" fillId="4" borderId="126" xfId="0" applyNumberFormat="1" applyFont="1" applyFill="1" applyBorder="1" applyAlignment="1">
      <x:alignment horizontal="center" wrapText="1"/>
    </x:xf>
    <x:xf numFmtId="0" fontId="0" fillId="4" borderId="101" xfId="0" applyNumberFormat="1" applyFont="1" applyFill="1" applyBorder="1" applyAlignment="1">
      <x:alignment horizontal="center" wrapText="1"/>
    </x:xf>
    <x:xf numFmtId="0" fontId="0" fillId="4" borderId="94" xfId="0" applyNumberFormat="1" applyFont="1" applyFill="1" applyBorder="1" applyAlignment="1">
      <x:alignment horizontal="center" wrapText="1"/>
    </x:xf>
    <x:xf numFmtId="0" fontId="14" fillId="4" borderId="140" xfId="0" applyNumberFormat="1" applyFont="1" applyFill="1" applyBorder="1" applyAlignment="1">
      <x:alignment horizontal="center" vertical="center" wrapText="1"/>
    </x:xf>
    <x:xf numFmtId="0" fontId="14" fillId="4" borderId="19" xfId="0" applyNumberFormat="1" applyFont="1" applyFill="1" applyBorder="1" applyAlignment="1">
      <x:alignment horizontal="center" vertical="center" wrapText="1"/>
    </x:xf>
    <x:xf numFmtId="0" fontId="14" fillId="4" borderId="20" xfId="0" applyNumberFormat="1" applyFont="1" applyFill="1" applyBorder="1" applyAlignment="1">
      <x:alignment horizontal="center" vertical="center" wrapText="1"/>
    </x:xf>
    <x:xf numFmtId="0" fontId="14" fillId="4" borderId="13" xfId="0" applyNumberFormat="1" applyFont="1" applyFill="1" applyBorder="1" applyAlignment="1">
      <x:alignment horizontal="center" vertical="center" wrapText="1"/>
    </x:xf>
    <x:xf numFmtId="0" fontId="0" fillId="4" borderId="122" xfId="0" applyNumberFormat="1" applyFont="1" applyFill="1" applyBorder="1" applyAlignment="1">
      <x:alignment horizontal="center" vertical="center" wrapText="1"/>
    </x:xf>
    <x:xf numFmtId="0" fontId="14" fillId="4" borderId="105" xfId="0" applyNumberFormat="1" applyFont="1" applyFill="1" applyBorder="1" applyAlignment="1">
      <x:alignment horizontal="center" vertical="center" wrapText="1"/>
    </x:xf>
    <x:xf numFmtId="0" fontId="9" fillId="4" borderId="28" xfId="0" applyNumberFormat="1" applyFont="1" applyFill="1" applyBorder="1" applyAlignment="1">
      <x:alignment horizontal="center" vertical="center" wrapText="1"/>
    </x:xf>
    <x:xf numFmtId="0" fontId="9" fillId="4" borderId="102" xfId="0" applyNumberFormat="1" applyFont="1" applyFill="1" applyBorder="1" applyAlignment="1">
      <x:alignment horizontal="center" vertical="center" wrapText="1"/>
    </x:xf>
    <x:xf numFmtId="0" fontId="9" fillId="4" borderId="138" xfId="0" applyNumberFormat="1" applyFont="1" applyFill="1" applyBorder="1" applyAlignment="1">
      <x:alignment horizontal="center" vertical="center" wrapText="1"/>
    </x:xf>
    <x:xf numFmtId="0" fontId="14" fillId="4" borderId="141" xfId="0" applyNumberFormat="1" applyFont="1" applyFill="1" applyBorder="1" applyAlignment="1">
      <x:alignment horizontal="center" vertical="center" wrapText="1"/>
    </x:xf>
    <x:xf numFmtId="0" fontId="0" fillId="3" borderId="29" xfId="0" applyNumberFormat="1" applyFont="1" applyFill="1" applyBorder="1" applyAlignment="1">
      <x:alignment horizontal="center" vertical="center" wrapText="1"/>
    </x:xf>
    <x:xf numFmtId="0" fontId="0" fillId="3" borderId="30" xfId="0" applyNumberFormat="1" applyFont="1" applyFill="1" applyBorder="1" applyAlignment="1">
      <x:alignment horizontal="center" vertical="center" wrapText="1"/>
    </x:xf>
    <x:xf numFmtId="0" fontId="0" fillId="3" borderId="31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horizontal="center" vertical="center" wrapText="1"/>
    </x:xf>
    <x:xf numFmtId="0" fontId="0" fillId="3" borderId="32" xfId="0" applyNumberFormat="1" applyFont="1" applyFill="1" applyBorder="1" applyAlignment="1">
      <x:alignment horizontal="center" vertical="center" wrapText="1"/>
    </x:xf>
    <x:xf numFmtId="0" fontId="0" fillId="3" borderId="33" xfId="0" applyNumberFormat="1" applyFont="1" applyFill="1" applyBorder="1" applyAlignment="1">
      <x:alignment horizontal="center" vertical="center" wrapText="1"/>
    </x:xf>
    <x:xf numFmtId="0" fontId="0" fillId="3" borderId="127" xfId="0" applyNumberFormat="1" applyFont="1" applyFill="1" applyBorder="1" applyAlignment="1">
      <x:alignment horizontal="center" vertical="center" wrapText="1"/>
    </x:xf>
    <x:xf numFmtId="203" fontId="0" fillId="3" borderId="121" xfId="0" applyNumberFormat="1" applyFont="1" applyFill="1" applyBorder="1" applyAlignment="1">
      <x:alignment horizontal="center" vertical="center" wrapText="1"/>
    </x:xf>
    <x:xf numFmtId="203" fontId="0" fillId="3" borderId="128" xfId="0" applyNumberFormat="1" applyFont="1" applyFill="1" applyBorder="1" applyAlignment="1">
      <x:alignment horizontal="center" vertical="center" wrapText="1"/>
    </x:xf>
    <x:xf numFmtId="203" fontId="0" fillId="3" borderId="34" xfId="0" applyNumberFormat="1" applyFont="1" applyFill="1" applyBorder="1" applyAlignment="1">
      <x:alignment horizontal="center" vertical="center" wrapText="1"/>
    </x:xf>
    <x:xf numFmtId="203" fontId="0" fillId="3" borderId="50" xfId="0" applyNumberFormat="1" applyFont="1" applyFill="1" applyBorder="1" applyAlignment="1">
      <x:alignment horizontal="center" vertical="center" wrapText="1"/>
    </x:xf>
    <x:xf numFmtId="203" fontId="0" fillId="3" borderId="142" xfId="0" applyNumberFormat="1" applyFont="1" applyFill="1" applyBorder="1" applyAlignment="1">
      <x:alignment wrapText="1"/>
    </x:xf>
    <x:xf numFmtId="0" fontId="0" fillId="3" borderId="97" xfId="0" applyNumberFormat="1" applyFont="1" applyFill="1" applyBorder="1" applyAlignment="1">
      <x:alignment horizontal="center" vertical="center" wrapText="1"/>
    </x:xf>
    <x:xf numFmtId="0" fontId="0" fillId="3" borderId="98" xfId="0" applyNumberFormat="1" applyFont="1" applyFill="1" applyBorder="1" applyAlignment="1">
      <x:alignment horizontal="center" vertical="center" wrapText="1"/>
    </x:xf>
    <x:xf numFmtId="0" fontId="0" fillId="3" borderId="9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99" xfId="0" applyNumberFormat="1" applyFont="1" applyFill="1" applyBorder="1" applyAlignment="1">
      <x:alignment horizontal="center" vertical="center" wrapText="1"/>
    </x:xf>
    <x:xf numFmtId="0" fontId="0" fillId="3" borderId="123" xfId="0" applyNumberFormat="1" applyFont="1" applyFill="1" applyBorder="1" applyAlignment="1">
      <x:alignment horizontal="center" vertical="center" wrapText="1"/>
    </x:xf>
    <x:xf numFmtId="203" fontId="0" fillId="3" borderId="39" xfId="0" applyNumberFormat="1" applyFont="1" applyFill="1" applyBorder="1" applyAlignment="1">
      <x:alignment horizontal="center" vertical="center" wrapText="1"/>
    </x:xf>
    <x:xf numFmtId="203" fontId="0" fillId="3" borderId="22" xfId="0" applyNumberFormat="1" applyFont="1" applyFill="1" applyBorder="1" applyAlignment="1">
      <x:alignment horizontal="center" vertical="center" wrapText="1"/>
    </x:xf>
    <x:xf numFmtId="203" fontId="0" fillId="3" borderId="143" xfId="0" applyNumberFormat="1" applyFont="1" applyFill="1" applyBorder="1" applyAlignment="1">
      <x:alignment wrapText="1"/>
    </x:xf>
    <x:xf numFmtId="0" fontId="0" fillId="3" borderId="36" xfId="0" applyNumberFormat="1" applyFont="1" applyFill="1" applyBorder="1" applyAlignment="1">
      <x:alignment horizontal="center" vertical="center" wrapText="1"/>
    </x:xf>
    <x:xf numFmtId="0" fontId="0" fillId="3" borderId="37" xfId="0" applyNumberFormat="1" applyFont="1" applyFill="1" applyBorder="1" applyAlignment="1">
      <x:alignment horizontal="center" vertical="center" wrapText="1"/>
    </x:xf>
    <x:xf numFmtId="0" fontId="0" fillId="3" borderId="38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9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wrapText="1"/>
    </x:xf>
    <x:xf numFmtId="203" fontId="0" fillId="3" borderId="144" xfId="0" applyNumberFormat="1" applyFont="1" applyFill="1" applyBorder="1" applyAlignment="1">
      <x:alignment vertical="center" wrapText="1"/>
    </x:xf>
    <x:xf numFmtId="49" fontId="19" fillId="0" borderId="18" xfId="0" applyNumberFormat="1" applyFont="1" applyFill="1" applyBorder="1" applyAlignment="1">
      <x:alignment horizontal="right" vertical="center" wrapText="1"/>
    </x:xf>
    <x:xf numFmtId="0" fontId="19" fillId="0" borderId="21" xfId="0" applyNumberFormat="1" applyFont="1" applyFill="1" applyBorder="1" applyAlignment="1">
      <x:alignment horizontal="right" vertical="center"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9" fillId="0" borderId="42" xfId="0" applyNumberFormat="1" applyFont="1" applyFill="1" applyBorder="1" applyAlignment="1">
      <x:alignment horizontal="right" vertical="center" wrapText="1"/>
    </x:xf>
    <x:xf numFmtId="0" fontId="0" fillId="0" borderId="50" xfId="0" applyNumberFormat="1" applyFont="1" applyFill="1" applyBorder="1" applyAlignment="1">
      <x:alignment wrapText="1"/>
    </x:xf>
    <x:xf numFmtId="0" fontId="0" fillId="0" borderId="111" xfId="0" applyNumberFormat="1" applyFont="1" applyFill="1" applyBorder="1" applyAlignment="1">
      <x:alignment wrapText="1"/>
    </x:xf>
    <x:xf numFmtId="203" fontId="0" fillId="0" borderId="40" xfId="0" applyNumberFormat="1" applyFont="1" applyFill="1" applyBorder="1" applyAlignment="1">
      <x:alignment horizontal="center" vertical="center" wrapText="1"/>
    </x:xf>
    <x:xf numFmtId="203" fontId="0" fillId="0" borderId="134" xfId="0" applyNumberFormat="1" applyFont="1" applyFill="1" applyBorder="1" applyAlignment="1">
      <x:alignment horizontal="center" vertical="center" wrapText="1"/>
    </x:xf>
    <x:xf numFmtId="203" fontId="0" fillId="0" borderId="129" xfId="0" applyNumberFormat="1" applyFont="1" applyFill="1" applyBorder="1" applyAlignment="1">
      <x:alignment horizontal="center" vertical="center" wrapText="1"/>
    </x:xf>
    <x:xf numFmtId="203" fontId="0" fillId="0" borderId="107" xfId="0" applyNumberFormat="1" applyFont="1" applyFill="1" applyBorder="1" applyAlignment="1">
      <x:alignment horizontal="center" vertical="center" wrapText="1"/>
    </x:xf>
    <x:xf numFmtId="203" fontId="0" fillId="0" borderId="24" xfId="0" applyNumberFormat="1" applyFont="1" applyFill="1" applyBorder="1" applyAlignment="1">
      <x:alignment wrapText="1"/>
    </x:xf>
    <x:xf numFmtId="203" fontId="0" fillId="0" borderId="41" xfId="0" applyNumberFormat="1" applyFont="1" applyFill="1" applyBorder="1" applyAlignment="1">
      <x:alignment wrapText="1"/>
    </x:xf>
    <x:xf numFmtId="203" fontId="0" fillId="0" borderId="139" xfId="0" applyNumberFormat="1" applyFont="1" applyFill="1" applyBorder="1" applyAlignment="1">
      <x:alignment wrapText="1"/>
    </x:xf>
    <x:xf numFmtId="203" fontId="0" fillId="0" borderId="141" xfId="0" applyNumberFormat="1" applyFont="1" applyFill="1" applyBorder="1" applyAlignment="1">
      <x:alignment wrapText="1"/>
    </x:xf>
    <x:xf numFmtId="0" fontId="19" fillId="0" borderId="46" xfId="0" applyNumberFormat="1" applyFont="1" applyFill="1" applyBorder="1" applyAlignment="1">
      <x:alignment horizontal="right" vertical="center" wrapText="1"/>
    </x:xf>
    <x:xf numFmtId="0" fontId="0" fillId="0" borderId="113" xfId="0" applyNumberFormat="1" applyFont="1" applyFill="1" applyBorder="1" applyAlignment="1">
      <x:alignment wrapText="1"/>
    </x:xf>
    <x:xf numFmtId="203" fontId="0" fillId="0" borderId="44" xfId="0" applyNumberFormat="1" applyFont="1" applyFill="1" applyBorder="1" applyAlignment="1">
      <x:alignment horizontal="center" vertical="center" wrapText="1"/>
    </x:xf>
    <x:xf numFmtId="203" fontId="0" fillId="0" borderId="45" xfId="0" applyNumberFormat="1" applyFont="1" applyFill="1" applyBorder="1" applyAlignment="1">
      <x:alignment horizontal="center" vertical="center" wrapText="1"/>
    </x:xf>
    <x:xf numFmtId="203" fontId="0" fillId="0" borderId="26" xfId="0" applyNumberFormat="1" applyFont="1" applyFill="1" applyBorder="1" applyAlignment="1">
      <x:alignment horizontal="center" vertical="center" wrapText="1"/>
    </x:xf>
    <x:xf numFmtId="203" fontId="0" fillId="0" borderId="121" xfId="0" applyNumberFormat="1" applyFont="1" applyFill="1" applyBorder="1" applyAlignment="1">
      <x:alignment horizontal="center" vertical="center" wrapText="1"/>
    </x:xf>
    <x:xf numFmtId="203" fontId="0" fillId="0" borderId="130" xfId="0" applyNumberFormat="1" applyFont="1" applyFill="1" applyBorder="1" applyAlignment="1">
      <x:alignment horizontal="center" vertical="center" wrapText="1"/>
    </x:xf>
    <x:xf numFmtId="203" fontId="0" fillId="0" borderId="108" xfId="0" applyNumberFormat="1" applyFont="1" applyFill="1" applyBorder="1" applyAlignment="1">
      <x:alignment horizontal="center" vertical="center" wrapText="1"/>
    </x:xf>
    <x:xf numFmtId="203" fontId="0" fillId="0" borderId="13" xfId="0" applyNumberFormat="1" applyFont="1" applyFill="1" applyBorder="1" applyAlignment="1">
      <x:alignment wrapText="1"/>
    </x:xf>
    <x:xf numFmtId="203" fontId="0" fillId="0" borderId="12" xfId="0" applyNumberFormat="1" applyFont="1" applyFill="1" applyBorder="1" applyAlignment="1">
      <x:alignment wrapText="1"/>
    </x:xf>
    <x:xf numFmtId="203" fontId="0" fillId="0" borderId="11" xfId="0" applyNumberFormat="1" applyFont="1" applyFill="1" applyBorder="1" applyAlignment="1">
      <x:alignment wrapText="1"/>
    </x:xf>
    <x:xf numFmtId="203" fontId="0" fillId="0" borderId="145" xfId="0" applyNumberFormat="1" applyFont="1" applyFill="1" applyBorder="1" applyAlignment="1">
      <x:alignment wrapText="1"/>
    </x:xf>
    <x:xf numFmtId="0" fontId="0" fillId="3" borderId="19" xfId="0" applyNumberFormat="1" applyFont="1" applyFill="1" applyBorder="1" applyAlignment="1">
      <x:alignment horizontal="center" vertical="center" wrapText="1"/>
    </x:xf>
    <x:xf numFmtId="0" fontId="0" fillId="3" borderId="47" xfId="0" applyNumberFormat="1" applyFont="1" applyFill="1" applyBorder="1" applyAlignment="1">
      <x:alignment horizontal="center" vertical="center" wrapText="1"/>
    </x:xf>
    <x:xf numFmtId="0" fontId="0" fillId="3" borderId="48" xfId="0" applyNumberFormat="1" applyFont="1" applyFill="1" applyBorder="1" applyAlignment="1">
      <x:alignment horizontal="center" vertical="center" wrapText="1"/>
    </x:xf>
    <x:xf numFmtId="0" fontId="0" fillId="3" borderId="110" xfId="0" applyNumberFormat="1" applyFont="1" applyFill="1" applyBorder="1" applyAlignment="1">
      <x:alignment horizontal="center" vertical="center" wrapText="1"/>
    </x:xf>
    <x:xf numFmtId="203" fontId="0" fillId="3" borderId="49" xfId="0" applyNumberFormat="1" applyFont="1" applyFill="1" applyBorder="1" applyAlignment="1">
      <x:alignment horizontal="center" vertical="center" wrapText="1"/>
    </x:xf>
    <x:xf numFmtId="203" fontId="0" fillId="3" borderId="135" xfId="0" applyNumberFormat="1" applyFont="1" applyFill="1" applyBorder="1" applyAlignment="1">
      <x:alignment horizontal="center" vertical="center" wrapText="1"/>
    </x:xf>
    <x:xf numFmtId="203" fontId="0" fillId="3" borderId="131" xfId="0" applyNumberFormat="1" applyFont="1" applyFill="1" applyBorder="1" applyAlignment="1">
      <x:alignment horizontal="center" vertical="center" wrapText="1"/>
    </x:xf>
    <x:xf numFmtId="203" fontId="0" fillId="3" borderId="13" xfId="0" applyNumberFormat="1" applyFont="1" applyFill="1" applyBorder="1" applyAlignment="1">
      <x:alignment horizontal="center" vertical="center" wrapText="1"/>
    </x:xf>
    <x:xf numFmtId="203" fontId="0" fillId="3" borderId="10" xfId="0" applyNumberFormat="1" applyFont="1" applyFill="1" applyBorder="1" applyAlignment="1">
      <x:alignment horizontal="center" vertical="center" wrapText="1"/>
    </x:xf>
    <x:xf numFmtId="0" fontId="0" fillId="3" borderId="119" xfId="0" applyNumberFormat="1" applyFont="1" applyFill="1" applyBorder="1" applyAlignment="1">
      <x:alignment horizontal="center" vertical="center" wrapText="1"/>
    </x:xf>
    <x:xf numFmtId="0" fontId="0" fillId="3" borderId="120" xfId="0" applyNumberFormat="1" applyFont="1" applyFill="1" applyBorder="1" applyAlignment="1">
      <x:alignment horizontal="center" vertical="center" wrapText="1"/>
    </x:xf>
    <x:xf numFmtId="0" fontId="0" fillId="3" borderId="105" xfId="0" applyNumberFormat="1" applyFont="1" applyFill="1" applyBorder="1" applyAlignment="1">
      <x:alignment horizontal="center" vertical="center" wrapText="1"/>
    </x:xf>
    <x:xf numFmtId="203" fontId="0" fillId="3" borderId="104" xfId="0" applyNumberFormat="1" applyFont="1" applyFill="1" applyBorder="1" applyAlignment="1">
      <x:alignment horizontal="center" vertical="center" wrapText="1"/>
    </x:xf>
    <x:xf numFmtId="0" fontId="0" fillId="3" borderId="24" xfId="0" applyNumberFormat="1" applyFont="1" applyFill="1" applyBorder="1" applyAlignment="1">
      <x:alignment horizontal="center" vertical="center" wrapText="1"/>
    </x:xf>
    <x:xf numFmtId="0" fontId="0" fillId="3" borderId="42" xfId="0" applyNumberFormat="1" applyFont="1" applyFill="1" applyBorder="1" applyAlignment="1">
      <x:alignment horizontal="center" vertical="center" wrapText="1"/>
    </x:xf>
    <x:xf numFmtId="0" fontId="0" fillId="3" borderId="111" xfId="0" applyNumberFormat="1" applyFont="1" applyFill="1" applyBorder="1" applyAlignment="1">
      <x:alignment horizontal="center" vertical="center" wrapText="1"/>
    </x:xf>
    <x:xf numFmtId="49" fontId="19" fillId="0" borderId="18" xfId="0" applyNumberFormat="1" applyFont="1" applyFill="1" applyBorder="1" applyAlignment="1">
      <x:alignment horizontal="right" wrapText="1"/>
    </x:xf>
    <x:xf numFmtId="0" fontId="0" fillId="0" borderId="43" xfId="0" applyNumberFormat="1" applyFont="1" applyFill="1" applyBorder="1" applyAlignment="1">
      <x:alignment wrapText="1"/>
    </x:xf>
    <x:xf numFmtId="203" fontId="0" fillId="0" borderId="50" xfId="0" applyNumberFormat="1" applyFont="1" applyFill="1" applyBorder="1" applyAlignment="1">
      <x:alignment horizontal="center" vertical="center" wrapText="1"/>
    </x:xf>
    <x:xf numFmtId="203" fontId="0" fillId="0" borderId="22" xfId="0" applyNumberFormat="1" applyFont="1" applyFill="1" applyBorder="1" applyAlignment="1">
      <x:alignment horizontal="center" vertical="center" wrapText="1"/>
    </x:xf>
    <x:xf numFmtId="203" fontId="0" fillId="0" borderId="104" xfId="0" applyNumberFormat="1" applyFont="1" applyFill="1" applyBorder="1" applyAlignment="1">
      <x:alignment horizontal="center" vertical="center" wrapText="1"/>
    </x:xf>
    <x:xf numFmtId="203" fontId="0" fillId="0" borderId="112" xfId="0" applyNumberFormat="1" applyFont="1" applyFill="1" applyBorder="1" applyAlignment="1">
      <x:alignment horizontal="center" vertical="center" wrapText="1"/>
    </x:xf>
    <x:xf numFmtId="203" fontId="0" fillId="0" borderId="51" xfId="0" applyNumberFormat="1" applyFont="1" applyFill="1" applyBorder="1" applyAlignment="1">
      <x:alignment wrapText="1"/>
    </x:xf>
    <x:xf numFmtId="203" fontId="0" fillId="0" borderId="142" xfId="0" applyNumberFormat="1" applyFont="1" applyFill="1" applyBorder="1" applyAlignment="1">
      <x:alignment wrapText="1"/>
    </x:xf>
    <x:xf numFmtId="0" fontId="0" fillId="4" borderId="18" xfId="0" applyNumberFormat="1" applyFont="1" applyFill="1" applyBorder="1" applyAlignment="1">
      <x:alignment vertical="center" wrapText="1"/>
    </x:xf>
    <x:xf numFmtId="0" fontId="19" fillId="4" borderId="21" xfId="0" applyNumberFormat="1" applyFont="1" applyFill="1" applyBorder="1" applyAlignment="1">
      <x:alignment horizontal="left" vertical="center" wrapText="1"/>
    </x:xf>
    <x:xf numFmtId="0" fontId="0" fillId="4" borderId="23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46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3" xfId="0" applyNumberFormat="1" applyFont="1" applyFill="1" applyBorder="1" applyAlignment="1">
      <x:alignment wrapText="1"/>
    </x:xf>
    <x:xf numFmtId="203" fontId="0" fillId="4" borderId="13" xfId="0" applyNumberFormat="1" applyFont="1" applyFill="1" applyBorder="1" applyAlignment="1">
      <x:alignment wrapText="1"/>
    </x:xf>
    <x:xf numFmtId="203" fontId="0" fillId="4" borderId="12" xfId="0" applyNumberFormat="1" applyFont="1" applyFill="1" applyBorder="1" applyAlignment="1">
      <x:alignment wrapText="1"/>
    </x:xf>
    <x:xf numFmtId="203" fontId="0" fillId="4" borderId="11" xfId="0" applyNumberFormat="1" applyFont="1" applyFill="1" applyBorder="1" applyAlignment="1">
      <x:alignment wrapText="1"/>
    </x:xf>
    <x:xf numFmtId="203" fontId="0" fillId="4" borderId="109" xfId="0" applyNumberFormat="1" applyFont="1" applyFill="1" applyBorder="1" applyAlignment="1">
      <x:alignment wrapText="1"/>
    </x:xf>
    <x:xf numFmtId="203" fontId="0" fillId="4" borderId="113" xfId="0" applyNumberFormat="1" applyFont="1" applyFill="1" applyBorder="1" applyAlignment="1">
      <x:alignment wrapText="1"/>
    </x:xf>
    <x:xf numFmtId="203" fontId="0" fillId="4" borderId="10" xfId="0" applyNumberFormat="1" applyFont="1" applyFill="1" applyBorder="1" applyAlignment="1">
      <x:alignment wrapText="1"/>
    </x:xf>
    <x:xf numFmtId="203" fontId="0" fillId="4" borderId="145" xfId="0" applyNumberFormat="1" applyFont="1" applyFill="1" applyBorder="1" applyAlignment="1">
      <x:alignment wrapText="1"/>
    </x:xf>
    <x:xf numFmtId="0" fontId="0" fillId="4" borderId="52" xfId="0" applyNumberFormat="1" applyFont="1" applyFill="1" applyBorder="1" applyAlignment="1">
      <x:alignment wrapText="1"/>
    </x:xf>
    <x:xf numFmtId="0" fontId="0" fillId="4" borderId="53" xfId="0" applyNumberFormat="1" applyFont="1" applyFill="1" applyBorder="1" applyAlignment="1">
      <x:alignment wrapText="1"/>
    </x:xf>
    <x:xf numFmtId="0" fontId="0" fillId="4" borderId="26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2" borderId="114" xfId="0" applyNumberFormat="1" applyFont="1" applyFill="1" applyBorder="1" applyAlignment="1">
      <x:alignment wrapText="1"/>
    </x:xf>
    <x:xf numFmtId="203" fontId="0" fillId="2" borderId="0" xfId="0" applyNumberFormat="1" applyFont="1" applyFill="1" applyBorder="1" applyAlignment="1">
      <x:alignment wrapText="1"/>
    </x:xf>
    <x:xf numFmtId="203" fontId="0" fillId="2" borderId="115" xfId="0" applyNumberFormat="1" applyFont="1" applyFill="1" applyBorder="1" applyAlignment="1">
      <x:alignment wrapText="1"/>
    </x:xf>
    <x:xf numFmtId="203" fontId="0" fillId="2" borderId="114" xfId="0" applyNumberFormat="1" applyFont="1" applyFill="1" applyBorder="1" applyAlignment="1">
      <x:alignment wrapText="1"/>
    </x:xf>
    <x:xf numFmtId="203" fontId="0" fillId="2" borderId="143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vertical="center" wrapText="1"/>
    </x:xf>
    <x:xf numFmtId="0" fontId="14" fillId="4" borderId="54" xfId="0" applyNumberFormat="1" applyFont="1" applyFill="1" applyBorder="1" applyAlignment="1">
      <x:alignment horizontal="left" vertical="center" wrapText="1"/>
    </x:xf>
    <x:xf numFmtId="0" fontId="0" fillId="4" borderId="54" xfId="0" applyNumberFormat="1" applyFont="1" applyFill="1" applyBorder="1" applyAlignment="1">
      <x:alignment wrapText="1"/>
    </x:xf>
    <x:xf numFmtId="0" fontId="0" fillId="4" borderId="55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32" xfId="0" applyNumberFormat="1" applyFont="1" applyFill="1" applyBorder="1" applyAlignment="1">
      <x:alignment wrapText="1"/>
    </x:xf>
    <x:xf numFmtId="203" fontId="0" fillId="4" borderId="117" xfId="0" applyNumberFormat="1" applyFont="1" applyFill="1" applyBorder="1" applyAlignment="1">
      <x:alignment wrapText="1"/>
    </x:xf>
    <x:xf numFmtId="203" fontId="0" fillId="4" borderId="133" xfId="0" applyNumberFormat="1" applyFont="1" applyFill="1" applyBorder="1" applyAlignment="1">
      <x:alignment wrapText="1"/>
    </x:xf>
    <x:xf numFmtId="203" fontId="0" fillId="4" borderId="118" xfId="0" applyNumberFormat="1" applyFont="1" applyFill="1" applyBorder="1" applyAlignment="1">
      <x:alignment wrapText="1"/>
    </x:xf>
    <x:xf numFmtId="203" fontId="0" fillId="4" borderId="116" xfId="0" applyNumberFormat="1" applyFont="1" applyFill="1" applyBorder="1" applyAlignment="1">
      <x:alignment wrapText="1"/>
    </x:xf>
    <x:xf numFmtId="203" fontId="14" fillId="4" borderId="136" xfId="0" applyNumberFormat="1" applyFont="1" applyFill="1" applyBorder="1" applyAlignment="1">
      <x:alignment wrapText="1"/>
    </x:xf>
    <x:xf numFmtId="203" fontId="14" fillId="4" borderId="146" xfId="0" applyNumberFormat="1" applyFont="1" applyFill="1" applyBorder="1" applyAlignment="1">
      <x:alignment wrapText="1"/>
    </x:xf>
    <x:xf numFmtId="0" fontId="0" fillId="18" borderId="18" xfId="0" applyNumberFormat="1" applyFont="1" applyFill="1" applyBorder="1" applyAlignment="1">
      <x:alignment vertical="center" wrapText="1"/>
    </x:xf>
    <x:xf numFmtId="0" fontId="19" fillId="18" borderId="21" xfId="0" applyNumberFormat="1" applyFont="1" applyFill="1" applyBorder="1" applyAlignment="1">
      <x:alignment horizontal="left" vertical="center" wrapText="1"/>
    </x:xf>
    <x:xf numFmtId="0" fontId="0" fillId="18" borderId="23" xfId="0" applyNumberFormat="1" applyFont="1" applyFill="1" applyBorder="1" applyAlignment="1">
      <x:alignment wrapText="1"/>
    </x:xf>
    <x:xf numFmtId="0" fontId="0" fillId="18" borderId="13" xfId="0" applyNumberFormat="1" applyFont="1" applyFill="1" applyBorder="1" applyAlignment="1">
      <x:alignment wrapText="1"/>
    </x:xf>
    <x:xf numFmtId="0" fontId="0" fillId="18" borderId="46" xfId="0" applyNumberFormat="1" applyFont="1" applyFill="1" applyBorder="1" applyAlignment="1">
      <x:alignment wrapText="1"/>
    </x:xf>
    <x:xf numFmtId="0" fontId="0" fillId="18" borderId="10" xfId="0" applyNumberFormat="1" applyFont="1" applyFill="1" applyBorder="1" applyAlignment="1">
      <x:alignment wrapText="1"/>
    </x:xf>
    <x:xf numFmtId="0" fontId="0" fillId="18" borderId="113" xfId="0" applyNumberFormat="1" applyFont="1" applyFill="1" applyBorder="1" applyAlignment="1">
      <x:alignment wrapText="1"/>
    </x:xf>
    <x:xf numFmtId="203" fontId="0" fillId="18" borderId="13" xfId="0" applyNumberFormat="1" applyFont="1" applyFill="1" applyBorder="1" applyAlignment="1">
      <x:alignment wrapText="1"/>
    </x:xf>
    <x:xf numFmtId="203" fontId="0" fillId="18" borderId="12" xfId="0" applyNumberFormat="1" applyFont="1" applyFill="1" applyBorder="1" applyAlignment="1">
      <x:alignment wrapText="1"/>
    </x:xf>
    <x:xf numFmtId="203" fontId="0" fillId="18" borderId="11" xfId="0" applyNumberFormat="1" applyFont="1" applyFill="1" applyBorder="1" applyAlignment="1">
      <x:alignment wrapText="1"/>
    </x:xf>
    <x:xf numFmtId="203" fontId="0" fillId="18" borderId="109" xfId="0" applyNumberFormat="1" applyFont="1" applyFill="1" applyBorder="1" applyAlignment="1">
      <x:alignment wrapText="1"/>
    </x:xf>
    <x:xf numFmtId="203" fontId="0" fillId="18" borderId="113" xfId="0" applyNumberFormat="1" applyFont="1" applyFill="1" applyBorder="1" applyAlignment="1">
      <x:alignment wrapText="1"/>
    </x:xf>
    <x:xf numFmtId="203" fontId="0" fillId="18" borderId="10" xfId="0" applyNumberFormat="1" applyFont="1" applyFill="1" applyBorder="1" applyAlignment="1">
      <x:alignment wrapText="1"/>
    </x:xf>
    <x:xf numFmtId="203" fontId="0" fillId="18" borderId="145" xfId="0" applyNumberFormat="1" applyFont="1" applyFill="1" applyBorder="1" applyAlignment="1">
      <x:alignment wrapText="1"/>
    </x:xf>
    <x:xf numFmtId="0" fontId="0" fillId="18" borderId="52" xfId="0" applyNumberFormat="1" applyFont="1" applyFill="1" applyBorder="1" applyAlignment="1">
      <x:alignment wrapText="1"/>
    </x:xf>
    <x:xf numFmtId="0" fontId="0" fillId="18" borderId="53" xfId="0" applyNumberFormat="1" applyFont="1" applyFill="1" applyBorder="1" applyAlignment="1">
      <x:alignment wrapText="1"/>
    </x:xf>
    <x:xf numFmtId="0" fontId="0" fillId="18" borderId="26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wrapText="1"/>
    </x:xf>
    <x:xf numFmtId="0" fontId="0" fillId="18" borderId="114" xfId="0" applyNumberFormat="1" applyFont="1" applyFill="1" applyBorder="1" applyAlignment="1">
      <x:alignment wrapText="1"/>
    </x:xf>
    <x:xf numFmtId="203" fontId="0" fillId="18" borderId="0" xfId="0" applyNumberFormat="1" applyFont="1" applyFill="1" applyBorder="1" applyAlignment="1">
      <x:alignment wrapText="1"/>
    </x:xf>
    <x:xf numFmtId="203" fontId="0" fillId="18" borderId="115" xfId="0" applyNumberFormat="1" applyFont="1" applyFill="1" applyBorder="1" applyAlignment="1">
      <x:alignment wrapText="1"/>
    </x:xf>
    <x:xf numFmtId="203" fontId="0" fillId="18" borderId="114" xfId="0" applyNumberFormat="1" applyFont="1" applyFill="1" applyBorder="1" applyAlignment="1">
      <x:alignment wrapText="1"/>
    </x:xf>
    <x:xf numFmtId="203" fontId="0" fillId="18" borderId="143" xfId="0" applyNumberFormat="1" applyFont="1" applyFill="1" applyBorder="1" applyAlignment="1">
      <x:alignment wrapText="1"/>
    </x:xf>
    <x:xf numFmtId="0" fontId="0" fillId="18" borderId="11" xfId="0" applyNumberFormat="1" applyFont="1" applyFill="1" applyBorder="1" applyAlignment="1">
      <x:alignment vertical="center" wrapText="1"/>
    </x:xf>
    <x:xf numFmtId="0" fontId="14" fillId="18" borderId="54" xfId="0" applyNumberFormat="1" applyFont="1" applyFill="1" applyBorder="1" applyAlignment="1">
      <x:alignment horizontal="left" vertical="center" wrapText="1"/>
    </x:xf>
    <x:xf numFmtId="0" fontId="0" fillId="18" borderId="54" xfId="0" applyNumberFormat="1" applyFont="1" applyFill="1" applyBorder="1" applyAlignment="1">
      <x:alignment wrapText="1"/>
    </x:xf>
    <x:xf numFmtId="0" fontId="0" fillId="18" borderId="55" xfId="0" applyNumberFormat="1" applyFont="1" applyFill="1" applyBorder="1" applyAlignment="1">
      <x:alignment wrapText="1"/>
    </x:xf>
    <x:xf numFmtId="0" fontId="0" fillId="18" borderId="12" xfId="0" applyNumberFormat="1" applyFont="1" applyFill="1" applyBorder="1" applyAlignment="1">
      <x:alignment wrapText="1"/>
    </x:xf>
    <x:xf numFmtId="0" fontId="0" fillId="18" borderId="11" xfId="0" applyNumberFormat="1" applyFont="1" applyFill="1" applyBorder="1" applyAlignment="1">
      <x:alignment wrapText="1"/>
    </x:xf>
    <x:xf numFmtId="0" fontId="0" fillId="18" borderId="132" xfId="0" applyNumberFormat="1" applyFont="1" applyFill="1" applyBorder="1" applyAlignment="1">
      <x:alignment wrapText="1"/>
    </x:xf>
    <x:xf numFmtId="203" fontId="0" fillId="18" borderId="117" xfId="0" applyNumberFormat="1" applyFont="1" applyFill="1" applyBorder="1" applyAlignment="1">
      <x:alignment wrapText="1"/>
    </x:xf>
    <x:xf numFmtId="203" fontId="0" fillId="18" borderId="133" xfId="0" applyNumberFormat="1" applyFont="1" applyFill="1" applyBorder="1" applyAlignment="1">
      <x:alignment wrapText="1"/>
    </x:xf>
    <x:xf numFmtId="203" fontId="0" fillId="18" borderId="118" xfId="0" applyNumberFormat="1" applyFont="1" applyFill="1" applyBorder="1" applyAlignment="1">
      <x:alignment wrapText="1"/>
    </x:xf>
    <x:xf numFmtId="203" fontId="0" fillId="18" borderId="116" xfId="0" applyNumberFormat="1" applyFont="1" applyFill="1" applyBorder="1" applyAlignment="1">
      <x:alignment wrapText="1"/>
    </x:xf>
    <x:xf numFmtId="203" fontId="14" fillId="18" borderId="136" xfId="0" applyNumberFormat="1" applyFont="1" applyFill="1" applyBorder="1" applyAlignment="1">
      <x:alignment wrapText="1"/>
    </x:xf>
    <x:xf numFmtId="203" fontId="14" fillId="18" borderId="146" xfId="0" applyNumberFormat="1" applyFont="1" applyFill="1" applyBorder="1" applyAlignment="1">
      <x:alignment wrapText="1"/>
    </x:xf>
    <x:xf numFmtId="0" fontId="0" fillId="19" borderId="11" xfId="0" applyNumberFormat="1" applyFont="1" applyFill="1" applyBorder="1" applyAlignment="1">
      <x:alignment vertical="center" wrapText="1"/>
    </x:xf>
    <x:xf numFmtId="0" fontId="14" fillId="19" borderId="54" xfId="0" applyNumberFormat="1" applyFont="1" applyFill="1" applyBorder="1" applyAlignment="1">
      <x:alignment horizontal="left" vertical="center" wrapText="1"/>
    </x:xf>
    <x:xf numFmtId="0" fontId="0" fillId="19" borderId="54" xfId="0" applyNumberFormat="1" applyFont="1" applyFill="1" applyBorder="1" applyAlignment="1">
      <x:alignment wrapText="1"/>
    </x:xf>
    <x:xf numFmtId="0" fontId="0" fillId="19" borderId="55" xfId="0" applyNumberFormat="1" applyFont="1" applyFill="1" applyBorder="1" applyAlignment="1">
      <x:alignment wrapText="1"/>
    </x:xf>
    <x:xf numFmtId="0" fontId="0" fillId="19" borderId="12" xfId="0" applyNumberFormat="1" applyFont="1" applyFill="1" applyBorder="1" applyAlignment="1">
      <x:alignment wrapText="1"/>
    </x:xf>
    <x:xf numFmtId="0" fontId="0" fillId="19" borderId="11" xfId="0" applyNumberFormat="1" applyFont="1" applyFill="1" applyBorder="1" applyAlignment="1">
      <x:alignment wrapText="1"/>
    </x:xf>
    <x:xf numFmtId="0" fontId="0" fillId="19" borderId="132" xfId="0" applyNumberFormat="1" applyFont="1" applyFill="1" applyBorder="1" applyAlignment="1">
      <x:alignment wrapText="1"/>
    </x:xf>
    <x:xf numFmtId="203" fontId="0" fillId="19" borderId="117" xfId="0" applyNumberFormat="1" applyFont="1" applyFill="1" applyBorder="1" applyAlignment="1">
      <x:alignment wrapText="1"/>
    </x:xf>
    <x:xf numFmtId="203" fontId="0" fillId="19" borderId="133" xfId="0" applyNumberFormat="1" applyFont="1" applyFill="1" applyBorder="1" applyAlignment="1">
      <x:alignment wrapText="1"/>
    </x:xf>
    <x:xf numFmtId="203" fontId="0" fillId="19" borderId="118" xfId="0" applyNumberFormat="1" applyFont="1" applyFill="1" applyBorder="1" applyAlignment="1">
      <x:alignment wrapText="1"/>
    </x:xf>
    <x:xf numFmtId="203" fontId="0" fillId="19" borderId="116" xfId="0" applyNumberFormat="1" applyFont="1" applyFill="1" applyBorder="1" applyAlignment="1">
      <x:alignment wrapText="1"/>
    </x:xf>
    <x:xf numFmtId="203" fontId="14" fillId="19" borderId="136" xfId="0" applyNumberFormat="1" applyFont="1" applyFill="1" applyBorder="1" applyAlignment="1">
      <x:alignment wrapText="1"/>
    </x:xf>
    <x:xf numFmtId="203" fontId="14" fillId="19" borderId="146" xfId="0" applyNumberFormat="1" applyFont="1" applyFill="1" applyBorder="1" applyAlignment="1">
      <x:alignment wrapText="1"/>
    </x:xf>
    <x:xf numFmtId="0" fontId="35" fillId="15" borderId="0" xfId="0" applyNumberFormat="1" applyFont="1" applyFill="1" applyBorder="1" applyAlignment="1">
      <x:alignment horizontal="left" vertical="center" wrapText="1"/>
    </x:xf>
    <x:xf numFmtId="0" fontId="23" fillId="16" borderId="0" xfId="0" applyNumberFormat="1" applyFont="1" applyFill="1" applyBorder="1"/>
    <x:xf numFmtId="0" fontId="24" fillId="15" borderId="35" xfId="0" applyNumberFormat="1" applyFont="1" applyFill="1" applyBorder="1" applyAlignment="1">
      <x:alignment horizontal="center" vertical="center" wrapText="1"/>
    </x:xf>
    <x:xf numFmtId="0" fontId="24" fillId="15" borderId="58" xfId="0" applyNumberFormat="1" applyFont="1" applyFill="1" applyBorder="1" applyAlignment="1">
      <x:alignment horizontal="center" vertical="center" wrapText="1"/>
    </x:xf>
    <x:xf numFmtId="0" fontId="24" fillId="15" borderId="59" xfId="0" applyNumberFormat="1" applyFont="1" applyFill="1" applyBorder="1" applyAlignment="1">
      <x:alignment horizontal="center" vertical="center" wrapText="1"/>
    </x:xf>
    <x:xf numFmtId="0" fontId="24" fillId="15" borderId="60" xfId="0" applyNumberFormat="1" applyFont="1" applyFill="1" applyBorder="1" applyAlignment="1">
      <x:alignment horizontal="center" vertical="center" wrapText="1"/>
    </x:xf>
    <x:xf numFmtId="0" fontId="24" fillId="15" borderId="61" xfId="0" applyNumberFormat="1" applyFont="1" applyFill="1" applyBorder="1" applyAlignment="1">
      <x:alignment horizontal="center" vertical="center" wrapText="1"/>
    </x:xf>
    <x:xf numFmtId="0" fontId="24" fillId="15" borderId="62" xfId="0" applyNumberFormat="1" applyFont="1" applyFill="1" applyBorder="1" applyAlignment="1">
      <x:alignment horizontal="center" vertical="center" wrapText="1"/>
    </x:xf>
    <x:xf numFmtId="0" fontId="24" fillId="15" borderId="63" xfId="0" applyNumberFormat="1" applyFont="1" applyFill="1" applyBorder="1" applyAlignment="1">
      <x:alignment horizontal="center" vertical="center" wrapText="1"/>
    </x:xf>
    <x:xf numFmtId="0" fontId="24" fillId="15" borderId="27" xfId="0" applyNumberFormat="1" applyFont="1" applyFill="1" applyBorder="1" applyAlignment="1">
      <x:alignment horizontal="center" vertical="center" wrapText="1"/>
    </x:xf>
    <x:xf numFmtId="10" fontId="24" fillId="15" borderId="27" xfId="0" applyNumberFormat="1" applyFont="1" applyFill="1" applyBorder="1" applyAlignment="1">
      <x:alignment horizontal="center" vertical="center" wrapText="1"/>
    </x:xf>
    <x:xf numFmtId="0" fontId="40" fillId="15" borderId="35" xfId="0" applyNumberFormat="1" applyFont="1" applyFill="1" applyBorder="1" applyAlignment="1">
      <x:alignment horizontal="center" vertical="center" wrapText="1"/>
    </x:xf>
    <x:xf numFmtId="0" fontId="40" fillId="15" borderId="58" xfId="0" applyNumberFormat="1" applyFont="1" applyFill="1" applyBorder="1" applyAlignment="1">
      <x:alignment horizontal="center" vertical="center" wrapText="1"/>
    </x:xf>
    <x:xf numFmtId="0" fontId="40" fillId="15" borderId="59" xfId="0" applyNumberFormat="1" applyFont="1" applyFill="1" applyBorder="1" applyAlignment="1">
      <x:alignment horizontal="center" vertical="center" wrapText="1"/>
    </x:xf>
    <x:xf numFmtId="0" fontId="40" fillId="15" borderId="60" xfId="0" applyNumberFormat="1" applyFont="1" applyFill="1" applyBorder="1" applyAlignment="1">
      <x:alignment horizontal="center" vertical="center" wrapText="1"/>
    </x:xf>
    <x:xf numFmtId="0" fontId="40" fillId="15" borderId="61" xfId="0" applyNumberFormat="1" applyFont="1" applyFill="1" applyBorder="1" applyAlignment="1">
      <x:alignment horizontal="center" vertical="center" wrapText="1"/>
    </x:xf>
    <x:xf numFmtId="0" fontId="40" fillId="15" borderId="62" xfId="0" applyNumberFormat="1" applyFont="1" applyFill="1" applyBorder="1" applyAlignment="1">
      <x:alignment horizontal="center" vertical="center" wrapText="1"/>
    </x:xf>
    <x:xf numFmtId="0" fontId="40" fillId="15" borderId="63" xfId="0" applyNumberFormat="1" applyFont="1" applyFill="1" applyBorder="1" applyAlignment="1">
      <x:alignment horizontal="center" vertical="center" wrapText="1"/>
    </x:xf>
    <x:xf numFmtId="0" fontId="40" fillId="15" borderId="27" xfId="0" applyNumberFormat="1" applyFont="1" applyFill="1" applyBorder="1" applyAlignment="1">
      <x:alignment horizontal="center" vertical="center" wrapText="1"/>
    </x:xf>
    <x:xf numFmtId="10" fontId="40" fillId="15" borderId="27" xfId="0" applyNumberFormat="1" applyFont="1" applyFill="1" applyBorder="1" applyAlignment="1">
      <x:alignment horizontal="center" vertical="center" wrapText="1"/>
    </x:xf>
    <x:xf numFmtId="10" fontId="40" fillId="15" borderId="147" xfId="0" applyNumberFormat="1" applyFont="1" applyFill="1" applyBorder="1" applyAlignment="1">
      <x:alignment horizontal="center" vertical="center" wrapText="1"/>
    </x:xf>
    <x:xf numFmtId="10" fontId="41" fillId="15" borderId="147" xfId="0" applyNumberFormat="1" applyFont="1" applyFill="1" applyBorder="1" applyAlignment="1">
      <x:alignment horizontal="center" vertical="center" wrapText="1"/>
    </x:xf>
    <x:xf numFmtId="0" fontId="42" fillId="9" borderId="27" xfId="0" applyNumberFormat="1" applyFont="1" applyFill="1" applyBorder="1" applyAlignment="1">
      <x:alignment horizontal="left" vertical="center" wrapText="1"/>
    </x:xf>
    <x:xf numFmtId="0" fontId="42" fillId="3" borderId="64" xfId="0" applyNumberFormat="1" applyFont="1" applyFill="1" applyBorder="1" applyAlignment="1">
      <x:alignment horizontal="center" vertical="center"/>
    </x:xf>
    <x:xf numFmtId="0" fontId="42" fillId="5" borderId="65" xfId="0" applyNumberFormat="1" applyFont="1" applyFill="1" applyBorder="1" applyAlignment="1">
      <x:alignment horizontal="center" vertical="center"/>
    </x:xf>
    <x:xf numFmtId="10" fontId="42" fillId="0" borderId="66" xfId="0" applyNumberFormat="1" applyFont="1" applyFill="1" applyBorder="1" applyAlignment="1">
      <x:alignment horizontal="center" vertical="center"/>
    </x:xf>
    <x:xf numFmtId="0" fontId="42" fillId="3" borderId="67" xfId="0" applyNumberFormat="1" applyFont="1" applyFill="1" applyBorder="1" applyAlignment="1">
      <x:alignment horizontal="center" vertical="center"/>
    </x:xf>
    <x:xf numFmtId="0" fontId="42" fillId="3" borderId="68" xfId="0" applyNumberFormat="1" applyFont="1" applyFill="1" applyBorder="1" applyAlignment="1">
      <x:alignment horizontal="center" vertical="center"/>
    </x:xf>
    <x:xf numFmtId="0" fontId="42" fillId="5" borderId="69" xfId="0" applyNumberFormat="1" applyFont="1" applyFill="1" applyBorder="1" applyAlignment="1">
      <x:alignment horizontal="center" vertical="center"/>
    </x:xf>
    <x:xf numFmtId="10" fontId="42" fillId="0" borderId="70" xfId="0" applyNumberFormat="1" applyFont="1" applyFill="1" applyBorder="1" applyAlignment="1">
      <x:alignment horizontal="center" vertical="center"/>
    </x:xf>
    <x:xf numFmtId="0" fontId="42" fillId="3" borderId="71" xfId="0" applyNumberFormat="1" applyFont="1" applyFill="1" applyBorder="1" applyAlignment="1">
      <x:alignment horizontal="center" vertical="center"/>
    </x:xf>
    <x:xf numFmtId="0" fontId="42" fillId="5" borderId="72" xfId="0" applyNumberFormat="1" applyFont="1" applyFill="1" applyBorder="1" applyAlignment="1">
      <x:alignment horizontal="center" vertical="center"/>
    </x:xf>
    <x:xf numFmtId="10" fontId="42" fillId="0" borderId="73" xfId="0" applyNumberFormat="1" applyFont="1" applyFill="1" applyBorder="1" applyAlignment="1">
      <x:alignment horizontal="center" vertical="center"/>
    </x:xf>
    <x:xf numFmtId="0" fontId="42" fillId="3" borderId="74" xfId="0" applyNumberFormat="1" applyFont="1" applyFill="1" applyBorder="1" applyAlignment="1">
      <x:alignment horizontal="center" vertical="center"/>
    </x:xf>
    <x:xf numFmtId="0" fontId="42" fillId="5" borderId="75" xfId="0" applyNumberFormat="1" applyFont="1" applyFill="1" applyBorder="1" applyAlignment="1">
      <x:alignment horizontal="center" vertical="center"/>
    </x:xf>
    <x:xf numFmtId="10" fontId="42" fillId="0" borderId="76" xfId="0" applyNumberFormat="1" applyFont="1" applyFill="1" applyBorder="1" applyAlignment="1">
      <x:alignment horizontal="center" vertical="center"/>
    </x:xf>
    <x:xf numFmtId="0" fontId="42" fillId="0" borderId="77" xfId="0" applyNumberFormat="1" applyFont="1" applyFill="1" applyBorder="1" applyAlignment="1">
      <x:alignment horizontal="center" vertical="center"/>
    </x:xf>
    <x:xf numFmtId="0" fontId="42" fillId="0" borderId="78" xfId="0" applyNumberFormat="1" applyFont="1" applyFill="1" applyBorder="1" applyAlignment="1">
      <x:alignment horizontal="center" vertical="center"/>
    </x:xf>
    <x:xf numFmtId="0" fontId="42" fillId="0" borderId="79" xfId="0" applyNumberFormat="1" applyFont="1" applyFill="1" applyBorder="1" applyAlignment="1">
      <x:alignment horizontal="center" vertical="center"/>
    </x:xf>
    <x:xf numFmtId="0" fontId="42" fillId="0" borderId="80" xfId="0" applyNumberFormat="1" applyFont="1" applyFill="1" applyBorder="1" applyAlignment="1">
      <x:alignment horizontal="center" vertical="center"/>
    </x:xf>
    <x:xf numFmtId="0" fontId="42" fillId="0" borderId="81" xfId="0" applyNumberFormat="1" applyFont="1" applyFill="1" applyBorder="1" applyAlignment="1">
      <x:alignment horizontal="center" vertical="center"/>
    </x:xf>
    <x:xf numFmtId="0" fontId="42" fillId="0" borderId="82" xfId="0" applyNumberFormat="1" applyFont="1" applyFill="1" applyBorder="1" applyAlignment="1">
      <x:alignment horizontal="center" vertical="center"/>
    </x:xf>
    <x:xf numFmtId="0" fontId="42" fillId="0" borderId="83" xfId="0" applyNumberFormat="1" applyFont="1" applyFill="1" applyBorder="1" applyAlignment="1">
      <x:alignment horizontal="center" vertical="center"/>
    </x:xf>
    <x:xf numFmtId="0" fontId="42" fillId="0" borderId="84" xfId="0" applyNumberFormat="1" applyFont="1" applyFill="1" applyBorder="1" applyAlignment="1">
      <x:alignment horizontal="center" vertical="center"/>
    </x:xf>
    <x:xf numFmtId="0" fontId="42" fillId="3" borderId="85" xfId="0" applyNumberFormat="1" applyFont="1" applyFill="1" applyBorder="1" applyAlignment="1">
      <x:alignment horizontal="center" vertical="center"/>
    </x:xf>
    <x:xf numFmtId="0" fontId="42" fillId="0" borderId="86" xfId="0" applyNumberFormat="1" applyFont="1" applyFill="1" applyBorder="1" applyAlignment="1">
      <x:alignment horizontal="center" vertical="center"/>
    </x:xf>
    <x:xf numFmtId="0" fontId="42" fillId="0" borderId="87" xfId="0" applyNumberFormat="1" applyFont="1" applyFill="1" applyBorder="1" applyAlignment="1">
      <x:alignment horizontal="center" vertical="center"/>
    </x:xf>
    <x:xf numFmtId="0" fontId="42" fillId="0" borderId="88" xfId="0" applyNumberFormat="1" applyFont="1" applyFill="1" applyBorder="1" applyAlignment="1">
      <x:alignment horizontal="center" vertical="center"/>
    </x:xf>
    <x:xf numFmtId="0" fontId="42" fillId="0" borderId="89" xfId="0" applyNumberFormat="1" applyFont="1" applyFill="1" applyBorder="1" applyAlignment="1">
      <x:alignment horizontal="center" vertical="center"/>
    </x:xf>
    <x:xf numFmtId="0" fontId="42" fillId="0" borderId="90" xfId="0" applyNumberFormat="1" applyFont="1" applyFill="1" applyBorder="1" applyAlignment="1">
      <x:alignment horizontal="center" vertical="center"/>
    </x:xf>
    <x:xf numFmtId="0" fontId="42" fillId="0" borderId="91" xfId="0" applyNumberFormat="1" applyFont="1" applyFill="1" applyBorder="1" applyAlignment="1">
      <x:alignment horizontal="center" vertical="center"/>
    </x:xf>
    <x:xf numFmtId="0" fontId="42" fillId="0" borderId="92" xfId="0" applyNumberFormat="1" applyFont="1" applyFill="1" applyBorder="1" applyAlignment="1">
      <x:alignment horizontal="center" vertical="center"/>
    </x:xf>
    <x:xf numFmtId="0" fontId="42" fillId="0" borderId="93" xfId="0" applyNumberFormat="1" applyFont="1" applyFill="1" applyBorder="1" applyAlignment="1">
      <x:alignment horizontal="center" vertical="center"/>
    </x:xf>
    <x:xf numFmtId="10" fontId="41" fillId="15" borderId="148" xfId="0" applyNumberFormat="1" applyFont="1" applyFill="1" applyBorder="1" applyAlignment="1">
      <x:alignment horizontal="center" vertical="center" wrapText="1"/>
    </x:xf>
    <x:xf numFmtId="0" fontId="42" fillId="9" borderId="148" xfId="0" applyNumberFormat="1" applyFont="1" applyFill="1" applyBorder="1" applyAlignment="1">
      <x:alignment horizontal="left" vertical="center" wrapText="1"/>
    </x:xf>
    <x:xf numFmtId="0" fontId="42" fillId="3" borderId="148" xfId="0" applyNumberFormat="1" applyFont="1" applyFill="1" applyBorder="1" applyAlignment="1">
      <x:alignment horizontal="center" vertical="center"/>
    </x:xf>
    <x:xf numFmtId="0" fontId="42" fillId="5" borderId="148" xfId="0" applyNumberFormat="1" applyFont="1" applyFill="1" applyBorder="1" applyAlignment="1">
      <x:alignment horizontal="center" vertical="center"/>
    </x:xf>
    <x:xf numFmtId="10" fontId="42" fillId="0" borderId="148" xfId="0" applyNumberFormat="1" applyFont="1" applyFill="1" applyBorder="1" applyAlignment="1">
      <x:alignment horizontal="center" vertical="center"/>
    </x:xf>
    <x:xf numFmtId="0" fontId="42" fillId="0" borderId="148" xfId="0" applyNumberFormat="1" applyFont="1" applyFill="1" applyBorder="1" applyAlignment="1">
      <x:alignment horizontal="center" vertical="center"/>
    </x:xf>
    <x:xf numFmtId="203" fontId="42" fillId="3" borderId="148" xfId="0" applyNumberFormat="1" applyFont="1" applyFill="1" applyBorder="1" applyAlignment="1">
      <x:alignment horizontal="center" vertical="center"/>
    </x:xf>
    <x:xf numFmtId="203" fontId="42" fillId="5" borderId="148" xfId="0" applyNumberFormat="1" applyFont="1" applyFill="1" applyBorder="1" applyAlignment="1">
      <x:alignment horizontal="center" vertical="center"/>
    </x:xf>
    <x:xf numFmtId="203" fontId="42" fillId="0" borderId="148" xfId="0" applyNumberFormat="1" applyFont="1" applyFill="1" applyBorder="1" applyAlignment="1">
      <x:alignment horizontal="center" vertical="center"/>
    </x:xf>
    <x:xf numFmtId="201" fontId="42" fillId="0" borderId="148" xfId="0" applyNumberFormat="1" applyFont="1" applyFill="1" applyBorder="1" applyAlignment="1">
      <x:alignment horizontal="center" vertical="center"/>
    </x:xf>
    <x:xf numFmtId="0" fontId="42" fillId="19" borderId="148" xfId="0" applyNumberFormat="1" applyFont="1" applyFill="1" applyBorder="1" applyAlignment="1">
      <x:alignment horizontal="left" vertical="center" wrapText="1"/>
    </x:xf>
    <x:xf numFmtId="203" fontId="42" fillId="19" borderId="148" xfId="0" applyNumberFormat="1" applyFont="1" applyFill="1" applyBorder="1" applyAlignment="1">
      <x:alignment horizontal="center" vertical="center"/>
    </x:xf>
    <x:xf numFmtId="201" fontId="42" fillId="19" borderId="148" xfId="0" applyNumberFormat="1" applyFont="1" applyFill="1" applyBorder="1" applyAlignment="1">
      <x:alignment horizontal="center" vertical="center"/>
    </x:xf>
    <x:xf numFmtId="0" fontId="41" fillId="19" borderId="148" xfId="0" applyNumberFormat="1" applyFont="1" applyFill="1" applyBorder="1" applyAlignment="1">
      <x:alignment horizontal="left" vertical="center" wrapText="1"/>
    </x:xf>
    <x:xf numFmtId="203" fontId="41" fillId="19" borderId="148" xfId="0" applyNumberFormat="1" applyFont="1" applyFill="1" applyBorder="1" applyAlignment="1">
      <x:alignment horizontal="center" vertical="center"/>
    </x:xf>
    <x:xf numFmtId="201" fontId="41" fillId="19" borderId="148" xfId="0" applyNumberFormat="1" applyFont="1" applyFill="1" applyBorder="1" applyAlignment="1">
      <x:alignment horizontal="center" vertical="center"/>
    </x:xf>
    <x:xf numFmtId="203" fontId="41" fillId="19" borderId="148" xfId="0" applyNumberFormat="1" applyFont="1" applyFill="1" applyBorder="1" applyAlignment="1">
      <x:alignment horizontal="center" vertical="center" wrapText="1"/>
    </x:xf>
    <x:xf numFmtId="201" fontId="41" fillId="19" borderId="148" xfId="0" applyNumberFormat="1" applyFont="1" applyFill="1" applyBorder="1" applyAlignment="1">
      <x:alignment horizontal="center" vertical="center" wrapText="1"/>
    </x:xf>
    <x:xf numFmtId="203" fontId="42" fillId="3" borderId="148" xfId="0" applyNumberFormat="1" applyFont="1" applyFill="1" applyBorder="1" applyAlignment="1">
      <x:alignment horizontal="center" vertical="center" wrapText="1"/>
    </x:xf>
    <x:xf numFmtId="203" fontId="42" fillId="5" borderId="148" xfId="0" applyNumberFormat="1" applyFont="1" applyFill="1" applyBorder="1" applyAlignment="1">
      <x:alignment horizontal="center" vertical="center" wrapText="1"/>
    </x:xf>
    <x:xf numFmtId="201" fontId="42" fillId="0" borderId="148" xfId="0" applyNumberFormat="1" applyFont="1" applyFill="1" applyBorder="1" applyAlignment="1">
      <x:alignment horizontal="center" vertical="center" wrapText="1"/>
    </x:xf>
    <x:xf numFmtId="203" fontId="42" fillId="0" borderId="148" xfId="0" applyNumberFormat="1" applyFont="1" applyFill="1" applyBorder="1" applyAlignment="1">
      <x:alignment horizontal="center" vertical="center" wrapText="1"/>
    </x:xf>
    <x:xf numFmtId="205" fontId="0" fillId="0" borderId="34" xfId="0" applyNumberFormat="1" applyFont="1" applyFill="1" applyBorder="1" applyAlignment="1">
      <x:alignment vertical="center"/>
    </x:xf>
    <x:xf numFmtId="205" fontId="0" fillId="0" borderId="34" xfId="0" applyNumberFormat="1" applyFont="1" applyFill="1" applyBorder="1" applyAlignment="1">
      <x:alignment horizontal="center" vertical="center"/>
    </x:xf>
    <x:xf numFmtId="204" fontId="0" fillId="0" borderId="34" xfId="0" applyNumberFormat="1" applyFont="1" applyFill="1" applyBorder="1" applyAlignment="1">
      <x:alignment vertical="center"/>
    </x:xf>
    <x:xf numFmtId="204" fontId="0" fillId="0" borderId="34" xfId="0" applyNumberFormat="1" applyFont="1" applyFill="1" applyBorder="1" applyAlignment="1">
      <x:alignment horizontal="center" vertical="center"/>
    </x:xf>
    <x:xf numFmtId="201" fontId="18" fillId="10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16" fillId="10" borderId="0" xfId="0" applyNumberFormat="1" applyFont="1" applyFill="1" applyBorder="1" applyAlignment="1">
      <x:alignment horizontal="center" vertical="center" wrapText="1"/>
    </x:xf>
    <x:xf numFmtId="203" fontId="0" fillId="7" borderId="34" xfId="0" applyNumberFormat="1" applyFont="1" applyFill="1" applyBorder="1"/>
    <x:xf numFmtId="203" fontId="0" fillId="0" borderId="34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9" fillId="5" borderId="34" xfId="0" applyNumberFormat="1" applyFont="1" applyFill="1" applyBorder="1" applyAlignment="1">
      <x:alignment horizontal="center" vertical="center" wrapText="1"/>
    </x:xf>
    <x:xf numFmtId="203" fontId="0" fillId="0" borderId="34" xfId="0" applyNumberFormat="1" applyFont="1" applyFill="1" applyBorder="1"/>
    <x:xf numFmtId="166" fontId="0" fillId="0" borderId="34" xfId="0" applyNumberFormat="1" applyFont="1" applyFill="1" applyBorder="1"/>
    <x:xf numFmtId="203" fontId="0" fillId="13" borderId="34" xfId="0" applyNumberFormat="1" applyFont="1" applyFill="1" applyBorder="1" applyAlignment="1">
      <x:alignment vertical="center"/>
    </x:xf>
    <x:xf numFmtId="204" fontId="0" fillId="0" borderId="34" xfId="0" applyNumberFormat="1" applyFont="1" applyFill="1" applyBorder="1"/>
    <x:xf numFmtId="0" fontId="21" fillId="10" borderId="0" xfId="0" applyNumberFormat="1" applyFont="1" applyFill="1" applyBorder="1" applyAlignment="1">
      <x:alignment horizontal="left" vertical="center" wrapText="1"/>
    </x:xf>
    <x:xf numFmtId="0" fontId="14" fillId="4" borderId="0" xfId="0" applyNumberFormat="1" applyFont="1" applyFill="1" applyBorder="1" applyAlignment="1">
      <x:alignment vertical="center" wrapText="1"/>
    </x:xf>
    <x:xf numFmtId="0" fontId="21" fillId="0" borderId="0" xfId="0" applyNumberFormat="1" applyFont="1" applyFill="1" applyBorder="1" applyAlignment="1">
      <x:alignment horizontal="left" vertical="center" wrapText="1"/>
    </x:xf>
    <x:xf numFmtId="0" fontId="15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horizontal="center" wrapText="1"/>
    </x:xf>
    <x:xf numFmtId="0" fontId="17" fillId="10" borderId="34" xfId="0" applyNumberFormat="1" applyFont="1" applyFill="1" applyBorder="1" applyAlignment="1">
      <x:alignment vertical="center" wrapText="1"/>
    </x:xf>
    <x:xf numFmtId="205" fontId="0" fillId="0" borderId="34" xfId="0" applyNumberFormat="1" applyFont="1" applyFill="1" applyBorder="1" applyAlignment="1">
      <x:alignment vertical="center" wrapText="1"/>
    </x:xf>
    <x:xf numFmtId="204" fontId="0" fillId="0" borderId="34" xfId="0" applyNumberFormat="1" applyFont="1" applyFill="1" applyBorder="1" applyAlignment="1">
      <x:alignment vertical="center" wrapText="1"/>
    </x:xf>
    <x:xf numFmtId="205" fontId="0" fillId="0" borderId="34" xfId="0" applyNumberFormat="1" applyFont="1" applyFill="1" applyBorder="1" applyAlignment="1">
      <x:alignment horizontal="center" vertical="center" wrapText="1"/>
    </x:xf>
    <x:xf numFmtId="204" fontId="0" fillId="0" borderId="3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18" fillId="10" borderId="0" xfId="0" applyNumberFormat="1" applyFont="1" applyFill="1" applyBorder="1" applyAlignment="1">
      <x:alignment horizontal="left" vertical="center" wrapText="1"/>
    </x:xf>
    <x:xf numFmtId="201" fontId="0" fillId="0" borderId="0" xfId="0" applyNumberFormat="1" applyFont="1" applyFill="1" applyBorder="1" applyAlignment="1">
      <x:alignment wrapText="1"/>
    </x:xf>
    <x:xf numFmtId="0" fontId="27" fillId="4" borderId="34" xfId="0" applyNumberFormat="1" applyFont="1" applyFill="1" applyBorder="1" applyAlignment="1">
      <x:alignment horizontal="center" vertical="center" wrapText="1"/>
    </x:xf>
    <x:xf numFmtId="0" fontId="7" fillId="4" borderId="34" xfId="0" applyNumberFormat="1" applyFont="1" applyFill="1" applyBorder="1" applyAlignment="1">
      <x:alignment horizontal="center" vertical="center" wrapText="1"/>
    </x:xf>
    <x:xf numFmtId="170" fontId="9" fillId="5" borderId="56" xfId="0" applyNumberFormat="1" applyFont="1" applyFill="1" applyBorder="1" applyAlignment="1">
      <x:alignment horizontal="center" vertical="center" wrapText="1"/>
    </x:xf>
    <x:xf numFmtId="170" fontId="9" fillId="5" borderId="34" xfId="0" applyNumberFormat="1" applyFont="1" applyFill="1" applyBorder="1" applyAlignment="1">
      <x:alignment horizontal="center" vertical="center" wrapText="1"/>
    </x:xf>
    <x:xf numFmtId="0" fontId="17" fillId="10" borderId="56" xfId="0" applyNumberFormat="1" applyFont="1" applyFill="1" applyBorder="1" applyAlignment="1">
      <x:alignment horizontal="left" vertical="center" wrapText="1"/>
    </x:xf>
    <x:xf numFmtId="203" fontId="0" fillId="7" borderId="34" xfId="0" applyNumberFormat="1" applyFont="1" applyFill="1" applyBorder="1" applyAlignment="1">
      <x:alignment wrapText="1"/>
    </x:xf>
    <x:xf numFmtId="0" fontId="17" fillId="10" borderId="57" xfId="0" applyNumberFormat="1" applyFont="1" applyFill="1" applyBorder="1" applyAlignment="1">
      <x:alignment horizontal="left" vertical="center" wrapText="1"/>
    </x:xf>
    <x:xf numFmtId="0" fontId="17" fillId="10" borderId="39" xfId="0" applyNumberFormat="1" applyFont="1" applyFill="1" applyBorder="1" applyAlignment="1">
      <x:alignment horizontal="left" vertical="center" wrapText="1"/>
    </x:xf>
    <x:xf numFmtId="203" fontId="0" fillId="0" borderId="34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8" fillId="10" borderId="39" xfId="0" applyNumberFormat="1" applyFont="1" applyFill="1" applyBorder="1" applyAlignment="1">
      <x:alignment horizontal="left" vertical="center" wrapText="1"/>
    </x:xf>
    <x:xf numFmtId="203" fontId="0" fillId="0" borderId="34" xfId="0" applyNumberFormat="1" applyFont="1" applyFill="1" applyBorder="1" applyAlignment="1">
      <x:alignment wrapText="1"/>
    </x:xf>
    <x:xf numFmtId="0" fontId="17" fillId="10" borderId="34" xfId="0" applyNumberFormat="1" applyFont="1" applyFill="1" applyBorder="1" applyAlignment="1">
      <x:alignment horizontal="left" vertical="center" wrapText="1"/>
    </x:xf>
    <x:xf numFmtId="166" fontId="0" fillId="0" borderId="34" xfId="0" applyNumberFormat="1" applyFont="1" applyFill="1" applyBorder="1" applyAlignment="1">
      <x:alignment wrapText="1"/>
    </x:xf>
    <x:xf numFmtId="0" fontId="17" fillId="13" borderId="57" xfId="0" applyNumberFormat="1" applyFont="1" applyFill="1" applyBorder="1" applyAlignment="1">
      <x:alignment horizontal="left" vertical="center" wrapText="1"/>
    </x:xf>
    <x:xf numFmtId="203" fontId="0" fillId="13" borderId="34" xfId="0" applyNumberFormat="1" applyFont="1" applyFill="1" applyBorder="1" applyAlignment="1">
      <x:alignment vertical="center" wrapText="1"/>
    </x:xf>
    <x:xf numFmtId="204" fontId="0" fillId="0" borderId="34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47" fillId="18" borderId="0" xfId="0" applyNumberFormat="1" applyFont="1" applyFill="1" applyBorder="1"/>
    <x:xf numFmtId="0" fontId="47" fillId="18" borderId="0" xfId="0" applyNumberFormat="1" applyFont="1" applyFill="1" applyBorder="1" applyAlignment="1">
      <x:alignment horizontal="center"/>
    </x:xf>
    <x:xf numFmtId="0" fontId="47" fillId="18" borderId="0" xfId="0" applyNumberFormat="1" applyFont="1" applyFill="1" applyBorder="1" applyAlignment="1">
      <x:alignment horizontal="center" vertical="center"/>
    </x:xf>
    <x:xf numFmtId="0" fontId="18" fillId="15" borderId="0" xfId="0" applyNumberFormat="1" applyFont="1" applyFill="1" applyBorder="1"/>
    <x:xf numFmtId="0" fontId="18" fillId="15" borderId="149" xfId="0" applyNumberFormat="1" applyFont="1" applyFill="1" applyBorder="1"/>
    <x:xf numFmtId="0" fontId="18" fillId="15" borderId="150" xfId="0" applyNumberFormat="1" applyFont="1" applyFill="1" applyBorder="1"/>
    <x:xf numFmtId="0" fontId="18" fillId="15" borderId="151" xfId="0" applyNumberFormat="1" applyFont="1" applyFill="1" applyBorder="1"/>
    <x:xf numFmtId="0" fontId="18" fillId="15" borderId="149" xfId="0" applyNumberFormat="1" applyFont="1" applyFill="1" applyBorder="1" applyAlignment="1">
      <x:alignment wrapText="1"/>
    </x:xf>
    <x:xf numFmtId="0" fontId="18" fillId="15" borderId="150" xfId="0" applyNumberFormat="1" applyFont="1" applyFill="1" applyBorder="1" applyAlignment="1">
      <x:alignment wrapText="1"/>
    </x:xf>
    <x:xf numFmtId="0" fontId="18" fillId="15" borderId="151" xfId="0" applyNumberFormat="1" applyFont="1" applyFill="1" applyBorder="1" applyAlignment="1">
      <x:alignment wrapText="1"/>
    </x:xf>
    <x:xf numFmtId="0" fontId="18" fillId="15" borderId="149" xfId="0" applyNumberFormat="1" applyFont="1" applyFill="1" applyBorder="1" applyAlignment="1">
      <x:alignment horizontal="center" wrapText="1"/>
    </x:xf>
    <x:xf numFmtId="0" fontId="18" fillId="15" borderId="150" xfId="0" applyNumberFormat="1" applyFont="1" applyFill="1" applyBorder="1" applyAlignment="1">
      <x:alignment horizontal="center" wrapText="1"/>
    </x:xf>
    <x:xf numFmtId="0" fontId="18" fillId="15" borderId="151" xfId="0" applyNumberFormat="1" applyFont="1" applyFill="1" applyBorder="1" applyAlignment="1">
      <x:alignment horizontal="center" wrapText="1"/>
    </x:xf>
    <x:xf numFmtId="0" fontId="18" fillId="15" borderId="149" xfId="0" applyNumberFormat="1" applyFont="1" applyFill="1" applyBorder="1" applyAlignment="1">
      <x:alignment horizontal="center" vertical="center" wrapText="1"/>
    </x:xf>
    <x:xf numFmtId="0" fontId="18" fillId="15" borderId="150" xfId="0" applyNumberFormat="1" applyFont="1" applyFill="1" applyBorder="1" applyAlignment="1">
      <x:alignment horizontal="center" vertical="center" wrapText="1"/>
    </x:xf>
    <x:xf numFmtId="0" fontId="18" fillId="15" borderId="15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48" fillId="20" borderId="0" xfId="0" applyNumberFormat="1" applyFont="1" applyFill="1" applyBorder="1"/>
    <x:xf numFmtId="0" fontId="48" fillId="20" borderId="152" xfId="0" applyNumberFormat="1" applyFont="1" applyFill="1" applyBorder="1"/>
    <x:xf numFmtId="0" fontId="48" fillId="20" borderId="153" xfId="0" applyNumberFormat="1" applyFont="1" applyFill="1" applyBorder="1"/>
    <x:xf numFmtId="0" fontId="48" fillId="20" borderId="154" xfId="0" applyNumberFormat="1" applyFont="1" applyFill="1" applyBorder="1"/>
    <x:xf numFmtId="0" fontId="48" fillId="20" borderId="155" xfId="0" applyNumberFormat="1" applyFont="1" applyFill="1" applyBorder="1"/>
    <x:xf numFmtId="0" fontId="48" fillId="20" borderId="156" xfId="0" applyNumberFormat="1" applyFont="1" applyFill="1" applyBorder="1"/>
    <x:xf numFmtId="0" fontId="48" fillId="20" borderId="157" xfId="0" applyNumberFormat="1" applyFont="1" applyFill="1" applyBorder="1"/>
    <x:xf numFmtId="0" fontId="48" fillId="20" borderId="152" xfId="0" applyNumberFormat="1" applyFont="1" applyFill="1" applyBorder="1" applyAlignment="1">
      <x:alignment horizontal="center"/>
    </x:xf>
    <x:xf numFmtId="0" fontId="48" fillId="20" borderId="153" xfId="0" applyNumberFormat="1" applyFont="1" applyFill="1" applyBorder="1" applyAlignment="1">
      <x:alignment horizontal="center"/>
    </x:xf>
    <x:xf numFmtId="0" fontId="48" fillId="20" borderId="154" xfId="0" applyNumberFormat="1" applyFont="1" applyFill="1" applyBorder="1" applyAlignment="1">
      <x:alignment horizontal="center"/>
    </x:xf>
    <x:xf numFmtId="0" fontId="48" fillId="20" borderId="155" xfId="0" applyNumberFormat="1" applyFont="1" applyFill="1" applyBorder="1" applyAlignment="1">
      <x:alignment horizontal="center"/>
    </x:xf>
    <x:xf numFmtId="0" fontId="48" fillId="20" borderId="156" xfId="0" applyNumberFormat="1" applyFont="1" applyFill="1" applyBorder="1" applyAlignment="1">
      <x:alignment horizontal="center"/>
    </x:xf>
    <x:xf numFmtId="0" fontId="48" fillId="20" borderId="157" xfId="0" applyNumberFormat="1" applyFont="1" applyFill="1" applyBorder="1" applyAlignment="1">
      <x:alignment horizontal="center"/>
    </x:xf>
    <x:xf numFmtId="0" fontId="48" fillId="20" borderId="152" xfId="0" applyNumberFormat="1" applyFont="1" applyFill="1" applyBorder="1" applyAlignment="1">
      <x:alignment horizontal="center" vertical="center"/>
    </x:xf>
    <x:xf numFmtId="0" fontId="48" fillId="20" borderId="153" xfId="0" applyNumberFormat="1" applyFont="1" applyFill="1" applyBorder="1" applyAlignment="1">
      <x:alignment horizontal="center" vertical="center"/>
    </x:xf>
    <x:xf numFmtId="0" fontId="48" fillId="20" borderId="154" xfId="0" applyNumberFormat="1" applyFont="1" applyFill="1" applyBorder="1" applyAlignment="1">
      <x:alignment horizontal="center" vertical="center"/>
    </x:xf>
    <x:xf numFmtId="0" fontId="48" fillId="20" borderId="155" xfId="0" applyNumberFormat="1" applyFont="1" applyFill="1" applyBorder="1" applyAlignment="1">
      <x:alignment horizontal="center" vertical="center"/>
    </x:xf>
    <x:xf numFmtId="0" fontId="48" fillId="20" borderId="156" xfId="0" applyNumberFormat="1" applyFont="1" applyFill="1" applyBorder="1" applyAlignment="1">
      <x:alignment horizontal="center" vertical="center"/>
    </x:xf>
    <x:xf numFmtId="0" fontId="48" fillId="20" borderId="157" xfId="0" applyNumberFormat="1" applyFont="1" applyFill="1" applyBorder="1" applyAlignment="1">
      <x:alignment horizontal="center" vertical="center"/>
    </x:xf>
    <x:xf numFmtId="0" fontId="18" fillId="16" borderId="0" xfId="0" applyNumberFormat="1" applyFont="1" applyFill="1" applyBorder="1"/>
    <x:xf numFmtId="0" fontId="18" fillId="16" borderId="158" xfId="0" applyNumberFormat="1" applyFont="1" applyFill="1" applyBorder="1"/>
    <x:xf numFmtId="0" fontId="18" fillId="16" borderId="159" xfId="0" applyNumberFormat="1" applyFont="1" applyFill="1" applyBorder="1"/>
    <x:xf numFmtId="0" fontId="18" fillId="16" borderId="160" xfId="0" applyNumberFormat="1" applyFont="1" applyFill="1" applyBorder="1"/>
    <x:xf numFmtId="0" fontId="18" fillId="16" borderId="158" xfId="0" applyNumberFormat="1" applyFont="1" applyFill="1" applyBorder="1" applyAlignment="1">
      <x:alignment wrapText="1"/>
    </x:xf>
    <x:xf numFmtId="0" fontId="18" fillId="16" borderId="159" xfId="0" applyNumberFormat="1" applyFont="1" applyFill="1" applyBorder="1" applyAlignment="1">
      <x:alignment wrapText="1"/>
    </x:xf>
    <x:xf numFmtId="0" fontId="18" fillId="16" borderId="160" xfId="0" applyNumberFormat="1" applyFont="1" applyFill="1" applyBorder="1" applyAlignment="1">
      <x:alignment wrapText="1"/>
    </x:xf>
    <x:xf numFmtId="0" fontId="18" fillId="16" borderId="158" xfId="0" applyNumberFormat="1" applyFont="1" applyFill="1" applyBorder="1" applyAlignment="1">
      <x:alignment horizontal="center" wrapText="1"/>
    </x:xf>
    <x:xf numFmtId="0" fontId="18" fillId="16" borderId="159" xfId="0" applyNumberFormat="1" applyFont="1" applyFill="1" applyBorder="1" applyAlignment="1">
      <x:alignment horizontal="center" wrapText="1"/>
    </x:xf>
    <x:xf numFmtId="0" fontId="18" fillId="16" borderId="160" xfId="0" applyNumberFormat="1" applyFont="1" applyFill="1" applyBorder="1" applyAlignment="1">
      <x:alignment horizontal="center" wrapText="1"/>
    </x:xf>
    <x:xf numFmtId="0" fontId="18" fillId="16" borderId="158" xfId="0" applyNumberFormat="1" applyFont="1" applyFill="1" applyBorder="1" applyAlignment="1">
      <x:alignment horizontal="center" vertical="center" wrapText="1"/>
    </x:xf>
    <x:xf numFmtId="0" fontId="18" fillId="16" borderId="159" xfId="0" applyNumberFormat="1" applyFont="1" applyFill="1" applyBorder="1" applyAlignment="1">
      <x:alignment horizontal="center" vertical="center" wrapText="1"/>
    </x:xf>
    <x:xf numFmtId="0" fontId="18" fillId="16" borderId="160" xfId="0" applyNumberFormat="1" applyFont="1" applyFill="1" applyBorder="1" applyAlignment="1">
      <x:alignment horizontal="center" vertical="center" wrapText="1"/>
    </x:xf>
    <x:xf numFmtId="0" fontId="49" fillId="20" borderId="0" xfId="0" applyNumberFormat="1" applyFont="1" applyFill="1" applyBorder="1"/>
    <x:xf numFmtId="0" fontId="49" fillId="20" borderId="161" xfId="0" applyNumberFormat="1" applyFont="1" applyFill="1" applyBorder="1"/>
    <x:xf numFmtId="0" fontId="49" fillId="20" borderId="162" xfId="0" applyNumberFormat="1" applyFont="1" applyFill="1" applyBorder="1"/>
    <x:xf numFmtId="0" fontId="49" fillId="20" borderId="163" xfId="0" applyNumberFormat="1" applyFont="1" applyFill="1" applyBorder="1"/>
    <x:xf numFmtId="0" fontId="49" fillId="20" borderId="164" xfId="0" applyNumberFormat="1" applyFont="1" applyFill="1" applyBorder="1"/>
    <x:xf numFmtId="0" fontId="49" fillId="20" borderId="165" xfId="0" applyNumberFormat="1" applyFont="1" applyFill="1" applyBorder="1"/>
    <x:xf numFmtId="0" fontId="49" fillId="20" borderId="166" xfId="0" applyNumberFormat="1" applyFont="1" applyFill="1" applyBorder="1"/>
    <x:xf numFmtId="0" fontId="49" fillId="20" borderId="161" xfId="0" applyNumberFormat="1" applyFont="1" applyFill="1" applyBorder="1" applyAlignment="1">
      <x:alignment horizontal="center"/>
    </x:xf>
    <x:xf numFmtId="0" fontId="49" fillId="20" borderId="162" xfId="0" applyNumberFormat="1" applyFont="1" applyFill="1" applyBorder="1" applyAlignment="1">
      <x:alignment horizontal="center"/>
    </x:xf>
    <x:xf numFmtId="0" fontId="49" fillId="20" borderId="163" xfId="0" applyNumberFormat="1" applyFont="1" applyFill="1" applyBorder="1" applyAlignment="1">
      <x:alignment horizontal="center"/>
    </x:xf>
    <x:xf numFmtId="0" fontId="49" fillId="20" borderId="164" xfId="0" applyNumberFormat="1" applyFont="1" applyFill="1" applyBorder="1" applyAlignment="1">
      <x:alignment horizontal="center"/>
    </x:xf>
    <x:xf numFmtId="0" fontId="49" fillId="20" borderId="165" xfId="0" applyNumberFormat="1" applyFont="1" applyFill="1" applyBorder="1" applyAlignment="1">
      <x:alignment horizontal="center"/>
    </x:xf>
    <x:xf numFmtId="0" fontId="49" fillId="20" borderId="166" xfId="0" applyNumberFormat="1" applyFont="1" applyFill="1" applyBorder="1" applyAlignment="1">
      <x:alignment horizontal="center"/>
    </x:xf>
    <x:xf numFmtId="0" fontId="49" fillId="20" borderId="161" xfId="0" applyNumberFormat="1" applyFont="1" applyFill="1" applyBorder="1" applyAlignment="1">
      <x:alignment horizontal="center" vertical="center"/>
    </x:xf>
    <x:xf numFmtId="0" fontId="49" fillId="20" borderId="162" xfId="0" applyNumberFormat="1" applyFont="1" applyFill="1" applyBorder="1" applyAlignment="1">
      <x:alignment horizontal="center" vertical="center"/>
    </x:xf>
    <x:xf numFmtId="0" fontId="49" fillId="20" borderId="163" xfId="0" applyNumberFormat="1" applyFont="1" applyFill="1" applyBorder="1" applyAlignment="1">
      <x:alignment horizontal="center" vertical="center"/>
    </x:xf>
    <x:xf numFmtId="0" fontId="49" fillId="20" borderId="164" xfId="0" applyNumberFormat="1" applyFont="1" applyFill="1" applyBorder="1" applyAlignment="1">
      <x:alignment horizontal="center" vertical="center"/>
    </x:xf>
    <x:xf numFmtId="0" fontId="49" fillId="20" borderId="165" xfId="0" applyNumberFormat="1" applyFont="1" applyFill="1" applyBorder="1" applyAlignment="1">
      <x:alignment horizontal="center" vertical="center"/>
    </x:xf>
    <x:xf numFmtId="0" fontId="49" fillId="20" borderId="166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18" fillId="21" borderId="0" xfId="0" applyNumberFormat="1" applyFont="1" applyFill="1" applyBorder="1"/>
    <x:xf numFmtId="0" fontId="18" fillId="21" borderId="167" xfId="0" applyNumberFormat="1" applyFont="1" applyFill="1" applyBorder="1"/>
    <x:xf numFmtId="0" fontId="18" fillId="21" borderId="168" xfId="0" applyNumberFormat="1" applyFont="1" applyFill="1" applyBorder="1"/>
    <x:xf numFmtId="0" fontId="18" fillId="21" borderId="169" xfId="0" applyNumberFormat="1" applyFont="1" applyFill="1" applyBorder="1"/>
    <x:xf numFmtId="0" fontId="18" fillId="21" borderId="167" xfId="0" applyNumberFormat="1" applyFont="1" applyFill="1" applyBorder="1" applyAlignment="1">
      <x:alignment wrapText="1"/>
    </x:xf>
    <x:xf numFmtId="0" fontId="18" fillId="21" borderId="168" xfId="0" applyNumberFormat="1" applyFont="1" applyFill="1" applyBorder="1" applyAlignment="1">
      <x:alignment wrapText="1"/>
    </x:xf>
    <x:xf numFmtId="0" fontId="18" fillId="21" borderId="169" xfId="0" applyNumberFormat="1" applyFont="1" applyFill="1" applyBorder="1" applyAlignment="1">
      <x:alignment wrapText="1"/>
    </x:xf>
    <x:xf numFmtId="0" fontId="18" fillId="21" borderId="167" xfId="0" applyNumberFormat="1" applyFont="1" applyFill="1" applyBorder="1" applyAlignment="1">
      <x:alignment horizontal="center" wrapText="1"/>
    </x:xf>
    <x:xf numFmtId="0" fontId="18" fillId="21" borderId="168" xfId="0" applyNumberFormat="1" applyFont="1" applyFill="1" applyBorder="1" applyAlignment="1">
      <x:alignment horizontal="center" wrapText="1"/>
    </x:xf>
    <x:xf numFmtId="0" fontId="18" fillId="21" borderId="169" xfId="0" applyNumberFormat="1" applyFont="1" applyFill="1" applyBorder="1" applyAlignment="1">
      <x:alignment horizontal="center" wrapText="1"/>
    </x:xf>
    <x:xf numFmtId="0" fontId="18" fillId="21" borderId="167" xfId="0" applyNumberFormat="1" applyFont="1" applyFill="1" applyBorder="1" applyAlignment="1">
      <x:alignment horizontal="center" vertical="center" wrapText="1"/>
    </x:xf>
    <x:xf numFmtId="0" fontId="18" fillId="21" borderId="168" xfId="0" applyNumberFormat="1" applyFont="1" applyFill="1" applyBorder="1" applyAlignment="1">
      <x:alignment horizontal="center" vertical="center" wrapText="1"/>
    </x:xf>
    <x:xf numFmtId="0" fontId="18" fillId="21" borderId="169" xfId="0" applyNumberFormat="1" applyFont="1" applyFill="1" applyBorder="1" applyAlignment="1">
      <x:alignment horizontal="center" vertical="center" wrapText="1"/>
    </x:xf>
    <x:xf numFmtId="0" fontId="50" fillId="20" borderId="0" xfId="0" applyNumberFormat="1" applyFont="1" applyFill="1" applyBorder="1"/>
    <x:xf numFmtId="0" fontId="50" fillId="20" borderId="170" xfId="0" applyNumberFormat="1" applyFont="1" applyFill="1" applyBorder="1"/>
    <x:xf numFmtId="0" fontId="50" fillId="20" borderId="171" xfId="0" applyNumberFormat="1" applyFont="1" applyFill="1" applyBorder="1"/>
    <x:xf numFmtId="0" fontId="50" fillId="20" borderId="172" xfId="0" applyNumberFormat="1" applyFont="1" applyFill="1" applyBorder="1"/>
    <x:xf numFmtId="0" fontId="50" fillId="20" borderId="173" xfId="0" applyNumberFormat="1" applyFont="1" applyFill="1" applyBorder="1"/>
    <x:xf numFmtId="0" fontId="50" fillId="20" borderId="174" xfId="0" applyNumberFormat="1" applyFont="1" applyFill="1" applyBorder="1"/>
    <x:xf numFmtId="0" fontId="50" fillId="20" borderId="175" xfId="0" applyNumberFormat="1" applyFont="1" applyFill="1" applyBorder="1"/>
    <x:xf numFmtId="0" fontId="50" fillId="20" borderId="170" xfId="0" applyNumberFormat="1" applyFont="1" applyFill="1" applyBorder="1" applyAlignment="1">
      <x:alignment horizontal="center"/>
    </x:xf>
    <x:xf numFmtId="0" fontId="50" fillId="20" borderId="171" xfId="0" applyNumberFormat="1" applyFont="1" applyFill="1" applyBorder="1" applyAlignment="1">
      <x:alignment horizontal="center"/>
    </x:xf>
    <x:xf numFmtId="0" fontId="50" fillId="20" borderId="172" xfId="0" applyNumberFormat="1" applyFont="1" applyFill="1" applyBorder="1" applyAlignment="1">
      <x:alignment horizontal="center"/>
    </x:xf>
    <x:xf numFmtId="0" fontId="50" fillId="20" borderId="173" xfId="0" applyNumberFormat="1" applyFont="1" applyFill="1" applyBorder="1" applyAlignment="1">
      <x:alignment horizontal="center"/>
    </x:xf>
    <x:xf numFmtId="0" fontId="50" fillId="20" borderId="174" xfId="0" applyNumberFormat="1" applyFont="1" applyFill="1" applyBorder="1" applyAlignment="1">
      <x:alignment horizontal="center"/>
    </x:xf>
    <x:xf numFmtId="0" fontId="50" fillId="20" borderId="175" xfId="0" applyNumberFormat="1" applyFont="1" applyFill="1" applyBorder="1" applyAlignment="1">
      <x:alignment horizontal="center"/>
    </x:xf>
    <x:xf numFmtId="0" fontId="50" fillId="20" borderId="170" xfId="0" applyNumberFormat="1" applyFont="1" applyFill="1" applyBorder="1" applyAlignment="1">
      <x:alignment horizontal="center" vertical="center"/>
    </x:xf>
    <x:xf numFmtId="0" fontId="50" fillId="20" borderId="171" xfId="0" applyNumberFormat="1" applyFont="1" applyFill="1" applyBorder="1" applyAlignment="1">
      <x:alignment horizontal="center" vertical="center"/>
    </x:xf>
    <x:xf numFmtId="0" fontId="50" fillId="20" borderId="172" xfId="0" applyNumberFormat="1" applyFont="1" applyFill="1" applyBorder="1" applyAlignment="1">
      <x:alignment horizontal="center" vertical="center"/>
    </x:xf>
    <x:xf numFmtId="0" fontId="50" fillId="20" borderId="173" xfId="0" applyNumberFormat="1" applyFont="1" applyFill="1" applyBorder="1" applyAlignment="1">
      <x:alignment horizontal="center" vertical="center"/>
    </x:xf>
    <x:xf numFmtId="0" fontId="50" fillId="20" borderId="174" xfId="0" applyNumberFormat="1" applyFont="1" applyFill="1" applyBorder="1" applyAlignment="1">
      <x:alignment horizontal="center" vertical="center"/>
    </x:xf>
    <x:xf numFmtId="0" fontId="50" fillId="20" borderId="175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18" fillId="22" borderId="0" xfId="0" applyNumberFormat="1" applyFont="1" applyFill="1" applyBorder="1"/>
    <x:xf numFmtId="0" fontId="18" fillId="22" borderId="176" xfId="0" applyNumberFormat="1" applyFont="1" applyFill="1" applyBorder="1"/>
    <x:xf numFmtId="0" fontId="18" fillId="22" borderId="177" xfId="0" applyNumberFormat="1" applyFont="1" applyFill="1" applyBorder="1"/>
    <x:xf numFmtId="0" fontId="18" fillId="22" borderId="178" xfId="0" applyNumberFormat="1" applyFont="1" applyFill="1" applyBorder="1"/>
    <x:xf numFmtId="0" fontId="18" fillId="22" borderId="176" xfId="0" applyNumberFormat="1" applyFont="1" applyFill="1" applyBorder="1" applyAlignment="1">
      <x:alignment wrapText="1"/>
    </x:xf>
    <x:xf numFmtId="0" fontId="18" fillId="22" borderId="177" xfId="0" applyNumberFormat="1" applyFont="1" applyFill="1" applyBorder="1" applyAlignment="1">
      <x:alignment wrapText="1"/>
    </x:xf>
    <x:xf numFmtId="0" fontId="18" fillId="22" borderId="178" xfId="0" applyNumberFormat="1" applyFont="1" applyFill="1" applyBorder="1" applyAlignment="1">
      <x:alignment wrapText="1"/>
    </x:xf>
    <x:xf numFmtId="0" fontId="18" fillId="22" borderId="176" xfId="0" applyNumberFormat="1" applyFont="1" applyFill="1" applyBorder="1" applyAlignment="1">
      <x:alignment horizontal="center" wrapText="1"/>
    </x:xf>
    <x:xf numFmtId="0" fontId="18" fillId="22" borderId="177" xfId="0" applyNumberFormat="1" applyFont="1" applyFill="1" applyBorder="1" applyAlignment="1">
      <x:alignment horizontal="center" wrapText="1"/>
    </x:xf>
    <x:xf numFmtId="0" fontId="18" fillId="22" borderId="178" xfId="0" applyNumberFormat="1" applyFont="1" applyFill="1" applyBorder="1" applyAlignment="1">
      <x:alignment horizontal="center" wrapText="1"/>
    </x:xf>
    <x:xf numFmtId="0" fontId="18" fillId="22" borderId="176" xfId="0" applyNumberFormat="1" applyFont="1" applyFill="1" applyBorder="1" applyAlignment="1">
      <x:alignment horizontal="center" vertical="center" wrapText="1"/>
    </x:xf>
    <x:xf numFmtId="0" fontId="18" fillId="22" borderId="177" xfId="0" applyNumberFormat="1" applyFont="1" applyFill="1" applyBorder="1" applyAlignment="1">
      <x:alignment horizontal="center" vertical="center" wrapText="1"/>
    </x:xf>
    <x:xf numFmtId="0" fontId="18" fillId="22" borderId="178" xfId="0" applyNumberFormat="1" applyFont="1" applyFill="1" applyBorder="1" applyAlignment="1">
      <x:alignment horizontal="center" vertical="center" wrapText="1"/>
    </x:xf>
    <x:xf numFmtId="0" fontId="51" fillId="20" borderId="0" xfId="0" applyNumberFormat="1" applyFont="1" applyFill="1" applyBorder="1"/>
    <x:xf numFmtId="0" fontId="51" fillId="20" borderId="179" xfId="0" applyNumberFormat="1" applyFont="1" applyFill="1" applyBorder="1"/>
    <x:xf numFmtId="0" fontId="51" fillId="20" borderId="180" xfId="0" applyNumberFormat="1" applyFont="1" applyFill="1" applyBorder="1"/>
    <x:xf numFmtId="0" fontId="51" fillId="20" borderId="181" xfId="0" applyNumberFormat="1" applyFont="1" applyFill="1" applyBorder="1"/>
    <x:xf numFmtId="0" fontId="51" fillId="20" borderId="182" xfId="0" applyNumberFormat="1" applyFont="1" applyFill="1" applyBorder="1"/>
    <x:xf numFmtId="0" fontId="51" fillId="20" borderId="183" xfId="0" applyNumberFormat="1" applyFont="1" applyFill="1" applyBorder="1"/>
    <x:xf numFmtId="0" fontId="51" fillId="20" borderId="184" xfId="0" applyNumberFormat="1" applyFont="1" applyFill="1" applyBorder="1"/>
    <x:xf numFmtId="0" fontId="51" fillId="20" borderId="179" xfId="0" applyNumberFormat="1" applyFont="1" applyFill="1" applyBorder="1" applyAlignment="1">
      <x:alignment horizontal="center"/>
    </x:xf>
    <x:xf numFmtId="0" fontId="51" fillId="20" borderId="180" xfId="0" applyNumberFormat="1" applyFont="1" applyFill="1" applyBorder="1" applyAlignment="1">
      <x:alignment horizontal="center"/>
    </x:xf>
    <x:xf numFmtId="0" fontId="51" fillId="20" borderId="181" xfId="0" applyNumberFormat="1" applyFont="1" applyFill="1" applyBorder="1" applyAlignment="1">
      <x:alignment horizontal="center"/>
    </x:xf>
    <x:xf numFmtId="0" fontId="51" fillId="20" borderId="182" xfId="0" applyNumberFormat="1" applyFont="1" applyFill="1" applyBorder="1" applyAlignment="1">
      <x:alignment horizontal="center"/>
    </x:xf>
    <x:xf numFmtId="0" fontId="51" fillId="20" borderId="183" xfId="0" applyNumberFormat="1" applyFont="1" applyFill="1" applyBorder="1" applyAlignment="1">
      <x:alignment horizontal="center"/>
    </x:xf>
    <x:xf numFmtId="0" fontId="51" fillId="20" borderId="184" xfId="0" applyNumberFormat="1" applyFont="1" applyFill="1" applyBorder="1" applyAlignment="1">
      <x:alignment horizontal="center"/>
    </x:xf>
    <x:xf numFmtId="0" fontId="51" fillId="20" borderId="179" xfId="0" applyNumberFormat="1" applyFont="1" applyFill="1" applyBorder="1" applyAlignment="1">
      <x:alignment horizontal="center" vertical="center"/>
    </x:xf>
    <x:xf numFmtId="0" fontId="51" fillId="20" borderId="180" xfId="0" applyNumberFormat="1" applyFont="1" applyFill="1" applyBorder="1" applyAlignment="1">
      <x:alignment horizontal="center" vertical="center"/>
    </x:xf>
    <x:xf numFmtId="0" fontId="51" fillId="20" borderId="181" xfId="0" applyNumberFormat="1" applyFont="1" applyFill="1" applyBorder="1" applyAlignment="1">
      <x:alignment horizontal="center" vertical="center"/>
    </x:xf>
    <x:xf numFmtId="0" fontId="51" fillId="20" borderId="182" xfId="0" applyNumberFormat="1" applyFont="1" applyFill="1" applyBorder="1" applyAlignment="1">
      <x:alignment horizontal="center" vertical="center"/>
    </x:xf>
    <x:xf numFmtId="0" fontId="51" fillId="20" borderId="183" xfId="0" applyNumberFormat="1" applyFont="1" applyFill="1" applyBorder="1" applyAlignment="1">
      <x:alignment horizontal="center" vertical="center"/>
    </x:xf>
    <x:xf numFmtId="0" fontId="51" fillId="20" borderId="184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18" fillId="23" borderId="0" xfId="0" applyNumberFormat="1" applyFont="1" applyFill="1" applyBorder="1"/>
    <x:xf numFmtId="0" fontId="18" fillId="23" borderId="185" xfId="0" applyNumberFormat="1" applyFont="1" applyFill="1" applyBorder="1"/>
    <x:xf numFmtId="0" fontId="18" fillId="23" borderId="186" xfId="0" applyNumberFormat="1" applyFont="1" applyFill="1" applyBorder="1"/>
    <x:xf numFmtId="0" fontId="18" fillId="23" borderId="187" xfId="0" applyNumberFormat="1" applyFont="1" applyFill="1" applyBorder="1"/>
    <x:xf numFmtId="0" fontId="18" fillId="23" borderId="185" xfId="0" applyNumberFormat="1" applyFont="1" applyFill="1" applyBorder="1" applyAlignment="1">
      <x:alignment wrapText="1"/>
    </x:xf>
    <x:xf numFmtId="0" fontId="18" fillId="23" borderId="186" xfId="0" applyNumberFormat="1" applyFont="1" applyFill="1" applyBorder="1" applyAlignment="1">
      <x:alignment wrapText="1"/>
    </x:xf>
    <x:xf numFmtId="0" fontId="18" fillId="23" borderId="187" xfId="0" applyNumberFormat="1" applyFont="1" applyFill="1" applyBorder="1" applyAlignment="1">
      <x:alignment wrapText="1"/>
    </x:xf>
    <x:xf numFmtId="0" fontId="18" fillId="23" borderId="185" xfId="0" applyNumberFormat="1" applyFont="1" applyFill="1" applyBorder="1" applyAlignment="1">
      <x:alignment horizontal="center" wrapText="1"/>
    </x:xf>
    <x:xf numFmtId="0" fontId="18" fillId="23" borderId="186" xfId="0" applyNumberFormat="1" applyFont="1" applyFill="1" applyBorder="1" applyAlignment="1">
      <x:alignment horizontal="center" wrapText="1"/>
    </x:xf>
    <x:xf numFmtId="0" fontId="18" fillId="23" borderId="187" xfId="0" applyNumberFormat="1" applyFont="1" applyFill="1" applyBorder="1" applyAlignment="1">
      <x:alignment horizontal="center" wrapText="1"/>
    </x:xf>
    <x:xf numFmtId="0" fontId="18" fillId="23" borderId="185" xfId="0" applyNumberFormat="1" applyFont="1" applyFill="1" applyBorder="1" applyAlignment="1">
      <x:alignment horizontal="center" vertical="center" wrapText="1"/>
    </x:xf>
    <x:xf numFmtId="0" fontId="18" fillId="23" borderId="186" xfId="0" applyNumberFormat="1" applyFont="1" applyFill="1" applyBorder="1" applyAlignment="1">
      <x:alignment horizontal="center" vertical="center" wrapText="1"/>
    </x:xf>
    <x:xf numFmtId="0" fontId="18" fillId="23" borderId="187" xfId="0" applyNumberFormat="1" applyFont="1" applyFill="1" applyBorder="1" applyAlignment="1">
      <x:alignment horizontal="center" vertical="center" wrapText="1"/>
    </x:xf>
    <x:xf numFmtId="0" fontId="52" fillId="20" borderId="0" xfId="0" applyNumberFormat="1" applyFont="1" applyFill="1" applyBorder="1"/>
    <x:xf numFmtId="0" fontId="52" fillId="20" borderId="188" xfId="0" applyNumberFormat="1" applyFont="1" applyFill="1" applyBorder="1"/>
    <x:xf numFmtId="0" fontId="52" fillId="20" borderId="189" xfId="0" applyNumberFormat="1" applyFont="1" applyFill="1" applyBorder="1"/>
    <x:xf numFmtId="0" fontId="52" fillId="20" borderId="190" xfId="0" applyNumberFormat="1" applyFont="1" applyFill="1" applyBorder="1"/>
    <x:xf numFmtId="0" fontId="52" fillId="20" borderId="191" xfId="0" applyNumberFormat="1" applyFont="1" applyFill="1" applyBorder="1"/>
    <x:xf numFmtId="0" fontId="52" fillId="20" borderId="192" xfId="0" applyNumberFormat="1" applyFont="1" applyFill="1" applyBorder="1"/>
    <x:xf numFmtId="0" fontId="52" fillId="20" borderId="193" xfId="0" applyNumberFormat="1" applyFont="1" applyFill="1" applyBorder="1"/>
    <x:xf numFmtId="0" fontId="52" fillId="20" borderId="188" xfId="0" applyNumberFormat="1" applyFont="1" applyFill="1" applyBorder="1" applyAlignment="1">
      <x:alignment horizontal="center"/>
    </x:xf>
    <x:xf numFmtId="0" fontId="52" fillId="20" borderId="189" xfId="0" applyNumberFormat="1" applyFont="1" applyFill="1" applyBorder="1" applyAlignment="1">
      <x:alignment horizontal="center"/>
    </x:xf>
    <x:xf numFmtId="0" fontId="52" fillId="20" borderId="190" xfId="0" applyNumberFormat="1" applyFont="1" applyFill="1" applyBorder="1" applyAlignment="1">
      <x:alignment horizontal="center"/>
    </x:xf>
    <x:xf numFmtId="0" fontId="52" fillId="20" borderId="191" xfId="0" applyNumberFormat="1" applyFont="1" applyFill="1" applyBorder="1" applyAlignment="1">
      <x:alignment horizontal="center"/>
    </x:xf>
    <x:xf numFmtId="0" fontId="52" fillId="20" borderId="192" xfId="0" applyNumberFormat="1" applyFont="1" applyFill="1" applyBorder="1" applyAlignment="1">
      <x:alignment horizontal="center"/>
    </x:xf>
    <x:xf numFmtId="0" fontId="52" fillId="20" borderId="193" xfId="0" applyNumberFormat="1" applyFont="1" applyFill="1" applyBorder="1" applyAlignment="1">
      <x:alignment horizontal="center"/>
    </x:xf>
    <x:xf numFmtId="0" fontId="52" fillId="20" borderId="188" xfId="0" applyNumberFormat="1" applyFont="1" applyFill="1" applyBorder="1" applyAlignment="1">
      <x:alignment horizontal="center" vertical="center"/>
    </x:xf>
    <x:xf numFmtId="0" fontId="52" fillId="20" borderId="189" xfId="0" applyNumberFormat="1" applyFont="1" applyFill="1" applyBorder="1" applyAlignment="1">
      <x:alignment horizontal="center" vertical="center"/>
    </x:xf>
    <x:xf numFmtId="0" fontId="52" fillId="20" borderId="190" xfId="0" applyNumberFormat="1" applyFont="1" applyFill="1" applyBorder="1" applyAlignment="1">
      <x:alignment horizontal="center" vertical="center"/>
    </x:xf>
    <x:xf numFmtId="0" fontId="52" fillId="20" borderId="191" xfId="0" applyNumberFormat="1" applyFont="1" applyFill="1" applyBorder="1" applyAlignment="1">
      <x:alignment horizontal="center" vertical="center"/>
    </x:xf>
    <x:xf numFmtId="0" fontId="52" fillId="20" borderId="192" xfId="0" applyNumberFormat="1" applyFont="1" applyFill="1" applyBorder="1" applyAlignment="1">
      <x:alignment horizontal="center" vertical="center"/>
    </x:xf>
    <x:xf numFmtId="0" fontId="52" fillId="20" borderId="193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18" fillId="24" borderId="0" xfId="0" applyNumberFormat="1" applyFont="1" applyFill="1" applyBorder="1"/>
    <x:xf numFmtId="0" fontId="18" fillId="24" borderId="194" xfId="0" applyNumberFormat="1" applyFont="1" applyFill="1" applyBorder="1"/>
    <x:xf numFmtId="0" fontId="18" fillId="24" borderId="195" xfId="0" applyNumberFormat="1" applyFont="1" applyFill="1" applyBorder="1"/>
    <x:xf numFmtId="0" fontId="18" fillId="24" borderId="196" xfId="0" applyNumberFormat="1" applyFont="1" applyFill="1" applyBorder="1"/>
    <x:xf numFmtId="0" fontId="18" fillId="24" borderId="194" xfId="0" applyNumberFormat="1" applyFont="1" applyFill="1" applyBorder="1" applyAlignment="1">
      <x:alignment wrapText="1"/>
    </x:xf>
    <x:xf numFmtId="0" fontId="18" fillId="24" borderId="195" xfId="0" applyNumberFormat="1" applyFont="1" applyFill="1" applyBorder="1" applyAlignment="1">
      <x:alignment wrapText="1"/>
    </x:xf>
    <x:xf numFmtId="0" fontId="18" fillId="24" borderId="196" xfId="0" applyNumberFormat="1" applyFont="1" applyFill="1" applyBorder="1" applyAlignment="1">
      <x:alignment wrapText="1"/>
    </x:xf>
    <x:xf numFmtId="0" fontId="18" fillId="24" borderId="194" xfId="0" applyNumberFormat="1" applyFont="1" applyFill="1" applyBorder="1" applyAlignment="1">
      <x:alignment horizontal="center" wrapText="1"/>
    </x:xf>
    <x:xf numFmtId="0" fontId="18" fillId="24" borderId="195" xfId="0" applyNumberFormat="1" applyFont="1" applyFill="1" applyBorder="1" applyAlignment="1">
      <x:alignment horizontal="center" wrapText="1"/>
    </x:xf>
    <x:xf numFmtId="0" fontId="18" fillId="24" borderId="196" xfId="0" applyNumberFormat="1" applyFont="1" applyFill="1" applyBorder="1" applyAlignment="1">
      <x:alignment horizontal="center" wrapText="1"/>
    </x:xf>
    <x:xf numFmtId="0" fontId="18" fillId="24" borderId="194" xfId="0" applyNumberFormat="1" applyFont="1" applyFill="1" applyBorder="1" applyAlignment="1">
      <x:alignment horizontal="center" vertical="center" wrapText="1"/>
    </x:xf>
    <x:xf numFmtId="0" fontId="18" fillId="24" borderId="195" xfId="0" applyNumberFormat="1" applyFont="1" applyFill="1" applyBorder="1" applyAlignment="1">
      <x:alignment horizontal="center" vertical="center" wrapText="1"/>
    </x:xf>
    <x:xf numFmtId="0" fontId="18" fillId="24" borderId="196" xfId="0" applyNumberFormat="1" applyFont="1" applyFill="1" applyBorder="1" applyAlignment="1">
      <x:alignment horizontal="center" vertical="center" wrapText="1"/>
    </x:xf>
    <x:xf numFmtId="0" fontId="53" fillId="20" borderId="0" xfId="0" applyNumberFormat="1" applyFont="1" applyFill="1" applyBorder="1"/>
    <x:xf numFmtId="0" fontId="53" fillId="20" borderId="197" xfId="0" applyNumberFormat="1" applyFont="1" applyFill="1" applyBorder="1"/>
    <x:xf numFmtId="0" fontId="53" fillId="20" borderId="198" xfId="0" applyNumberFormat="1" applyFont="1" applyFill="1" applyBorder="1"/>
    <x:xf numFmtId="0" fontId="53" fillId="20" borderId="199" xfId="0" applyNumberFormat="1" applyFont="1" applyFill="1" applyBorder="1"/>
    <x:xf numFmtId="0" fontId="53" fillId="20" borderId="200" xfId="0" applyNumberFormat="1" applyFont="1" applyFill="1" applyBorder="1"/>
    <x:xf numFmtId="0" fontId="53" fillId="20" borderId="201" xfId="0" applyNumberFormat="1" applyFont="1" applyFill="1" applyBorder="1"/>
    <x:xf numFmtId="0" fontId="53" fillId="20" borderId="202" xfId="0" applyNumberFormat="1" applyFont="1" applyFill="1" applyBorder="1"/>
    <x:xf numFmtId="0" fontId="53" fillId="20" borderId="197" xfId="0" applyNumberFormat="1" applyFont="1" applyFill="1" applyBorder="1" applyAlignment="1">
      <x:alignment horizontal="center"/>
    </x:xf>
    <x:xf numFmtId="0" fontId="53" fillId="20" borderId="198" xfId="0" applyNumberFormat="1" applyFont="1" applyFill="1" applyBorder="1" applyAlignment="1">
      <x:alignment horizontal="center"/>
    </x:xf>
    <x:xf numFmtId="0" fontId="53" fillId="20" borderId="199" xfId="0" applyNumberFormat="1" applyFont="1" applyFill="1" applyBorder="1" applyAlignment="1">
      <x:alignment horizontal="center"/>
    </x:xf>
    <x:xf numFmtId="0" fontId="53" fillId="20" borderId="200" xfId="0" applyNumberFormat="1" applyFont="1" applyFill="1" applyBorder="1" applyAlignment="1">
      <x:alignment horizontal="center"/>
    </x:xf>
    <x:xf numFmtId="0" fontId="53" fillId="20" borderId="201" xfId="0" applyNumberFormat="1" applyFont="1" applyFill="1" applyBorder="1" applyAlignment="1">
      <x:alignment horizontal="center"/>
    </x:xf>
    <x:xf numFmtId="0" fontId="53" fillId="20" borderId="202" xfId="0" applyNumberFormat="1" applyFont="1" applyFill="1" applyBorder="1" applyAlignment="1">
      <x:alignment horizontal="center"/>
    </x:xf>
    <x:xf numFmtId="0" fontId="53" fillId="20" borderId="197" xfId="0" applyNumberFormat="1" applyFont="1" applyFill="1" applyBorder="1" applyAlignment="1">
      <x:alignment horizontal="center" vertical="center"/>
    </x:xf>
    <x:xf numFmtId="0" fontId="53" fillId="20" borderId="198" xfId="0" applyNumberFormat="1" applyFont="1" applyFill="1" applyBorder="1" applyAlignment="1">
      <x:alignment horizontal="center" vertical="center"/>
    </x:xf>
    <x:xf numFmtId="0" fontId="53" fillId="20" borderId="199" xfId="0" applyNumberFormat="1" applyFont="1" applyFill="1" applyBorder="1" applyAlignment="1">
      <x:alignment horizontal="center" vertical="center"/>
    </x:xf>
    <x:xf numFmtId="0" fontId="53" fillId="20" borderId="200" xfId="0" applyNumberFormat="1" applyFont="1" applyFill="1" applyBorder="1" applyAlignment="1">
      <x:alignment horizontal="center" vertical="center"/>
    </x:xf>
    <x:xf numFmtId="0" fontId="53" fillId="20" borderId="201" xfId="0" applyNumberFormat="1" applyFont="1" applyFill="1" applyBorder="1" applyAlignment="1">
      <x:alignment horizontal="center" vertical="center"/>
    </x:xf>
    <x:xf numFmtId="0" fontId="53" fillId="20" borderId="202" xfId="0" applyNumberFormat="1" applyFont="1" applyFill="1" applyBorder="1" applyAlignment="1">
      <x:alignment horizontal="center" vertical="center"/>
    </x:xf>
    <x:xf numFmtId="204" fontId="48" fillId="20" borderId="152" xfId="0" applyNumberFormat="1" applyFont="1" applyFill="1" applyBorder="1" applyAlignment="1">
      <x:alignment horizontal="center" vertical="center"/>
    </x:xf>
    <x:xf numFmtId="204" fontId="48" fillId="20" borderId="153" xfId="0" applyNumberFormat="1" applyFont="1" applyFill="1" applyBorder="1" applyAlignment="1">
      <x:alignment horizontal="center" vertical="center"/>
    </x:xf>
    <x:xf numFmtId="204" fontId="48" fillId="20" borderId="154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49" fillId="20" borderId="161" xfId="0" applyNumberFormat="1" applyFont="1" applyFill="1" applyBorder="1" applyAlignment="1">
      <x:alignment horizontal="center" vertical="center"/>
    </x:xf>
    <x:xf numFmtId="204" fontId="49" fillId="20" borderId="162" xfId="0" applyNumberFormat="1" applyFont="1" applyFill="1" applyBorder="1" applyAlignment="1">
      <x:alignment horizontal="center" vertical="center"/>
    </x:xf>
    <x:xf numFmtId="204" fontId="49" fillId="20" borderId="163" xfId="0" applyNumberFormat="1" applyFont="1" applyFill="1" applyBorder="1" applyAlignment="1">
      <x:alignment horizontal="center" vertical="center"/>
    </x:xf>
    <x:xf numFmtId="204" fontId="50" fillId="20" borderId="170" xfId="0" applyNumberFormat="1" applyFont="1" applyFill="1" applyBorder="1" applyAlignment="1">
      <x:alignment horizontal="center" vertical="center"/>
    </x:xf>
    <x:xf numFmtId="204" fontId="50" fillId="20" borderId="171" xfId="0" applyNumberFormat="1" applyFont="1" applyFill="1" applyBorder="1" applyAlignment="1">
      <x:alignment horizontal="center" vertical="center"/>
    </x:xf>
    <x:xf numFmtId="204" fontId="50" fillId="20" borderId="172" xfId="0" applyNumberFormat="1" applyFont="1" applyFill="1" applyBorder="1" applyAlignment="1">
      <x:alignment horizontal="center" vertical="center"/>
    </x:xf>
    <x:xf numFmtId="204" fontId="51" fillId="20" borderId="179" xfId="0" applyNumberFormat="1" applyFont="1" applyFill="1" applyBorder="1" applyAlignment="1">
      <x:alignment horizontal="center" vertical="center"/>
    </x:xf>
    <x:xf numFmtId="204" fontId="51" fillId="20" borderId="180" xfId="0" applyNumberFormat="1" applyFont="1" applyFill="1" applyBorder="1" applyAlignment="1">
      <x:alignment horizontal="center" vertical="center"/>
    </x:xf>
    <x:xf numFmtId="204" fontId="51" fillId="20" borderId="181" xfId="0" applyNumberFormat="1" applyFont="1" applyFill="1" applyBorder="1" applyAlignment="1">
      <x:alignment horizontal="center" vertical="center"/>
    </x:xf>
    <x:xf numFmtId="204" fontId="48" fillId="20" borderId="155" xfId="0" applyNumberFormat="1" applyFont="1" applyFill="1" applyBorder="1" applyAlignment="1">
      <x:alignment horizontal="center" vertical="center"/>
    </x:xf>
    <x:xf numFmtId="204" fontId="48" fillId="20" borderId="156" xfId="0" applyNumberFormat="1" applyFont="1" applyFill="1" applyBorder="1" applyAlignment="1">
      <x:alignment horizontal="center" vertical="center"/>
    </x:xf>
    <x:xf numFmtId="204" fontId="48" fillId="20" borderId="157" xfId="0" applyNumberFormat="1" applyFont="1" applyFill="1" applyBorder="1" applyAlignment="1">
      <x:alignment horizontal="center" vertical="center"/>
    </x:xf>
    <x:xf numFmtId="204" fontId="49" fillId="20" borderId="164" xfId="0" applyNumberFormat="1" applyFont="1" applyFill="1" applyBorder="1" applyAlignment="1">
      <x:alignment horizontal="center" vertical="center"/>
    </x:xf>
    <x:xf numFmtId="204" fontId="49" fillId="20" borderId="165" xfId="0" applyNumberFormat="1" applyFont="1" applyFill="1" applyBorder="1" applyAlignment="1">
      <x:alignment horizontal="center" vertical="center"/>
    </x:xf>
    <x:xf numFmtId="204" fontId="49" fillId="20" borderId="166" xfId="0" applyNumberFormat="1" applyFont="1" applyFill="1" applyBorder="1" applyAlignment="1">
      <x:alignment horizontal="center" vertical="center"/>
    </x:xf>
    <x:xf numFmtId="204" fontId="50" fillId="20" borderId="173" xfId="0" applyNumberFormat="1" applyFont="1" applyFill="1" applyBorder="1" applyAlignment="1">
      <x:alignment horizontal="center" vertical="center"/>
    </x:xf>
    <x:xf numFmtId="204" fontId="50" fillId="20" borderId="174" xfId="0" applyNumberFormat="1" applyFont="1" applyFill="1" applyBorder="1" applyAlignment="1">
      <x:alignment horizontal="center" vertical="center"/>
    </x:xf>
    <x:xf numFmtId="204" fontId="50" fillId="20" borderId="175" xfId="0" applyNumberFormat="1" applyFont="1" applyFill="1" applyBorder="1" applyAlignment="1">
      <x:alignment horizontal="center" vertical="center"/>
    </x:xf>
    <x:xf numFmtId="204" fontId="51" fillId="20" borderId="182" xfId="0" applyNumberFormat="1" applyFont="1" applyFill="1" applyBorder="1" applyAlignment="1">
      <x:alignment horizontal="center" vertical="center"/>
    </x:xf>
    <x:xf numFmtId="204" fontId="51" fillId="20" borderId="183" xfId="0" applyNumberFormat="1" applyFont="1" applyFill="1" applyBorder="1" applyAlignment="1">
      <x:alignment horizontal="center" vertical="center"/>
    </x:xf>
    <x:xf numFmtId="204" fontId="51" fillId="20" borderId="184" xfId="0" applyNumberFormat="1" applyFont="1" applyFill="1" applyBorder="1" applyAlignment="1">
      <x:alignment horizontal="center" vertical="center"/>
    </x:xf>
    <x:xf numFmtId="204" fontId="18" fillId="23" borderId="185" xfId="0" applyNumberFormat="1" applyFont="1" applyFill="1" applyBorder="1" applyAlignment="1">
      <x:alignment horizontal="center" vertical="center" wrapText="1"/>
    </x:xf>
    <x:xf numFmtId="204" fontId="18" fillId="23" borderId="186" xfId="0" applyNumberFormat="1" applyFont="1" applyFill="1" applyBorder="1" applyAlignment="1">
      <x:alignment horizontal="center" vertical="center" wrapText="1"/>
    </x:xf>
    <x:xf numFmtId="204" fontId="18" fillId="23" borderId="187" xfId="0" applyNumberFormat="1" applyFont="1" applyFill="1" applyBorder="1" applyAlignment="1">
      <x:alignment horizontal="center" vertical="center" wrapText="1"/>
    </x:xf>
    <x:xf numFmtId="204" fontId="18" fillId="24" borderId="194" xfId="0" applyNumberFormat="1" applyFont="1" applyFill="1" applyBorder="1" applyAlignment="1">
      <x:alignment horizontal="center" vertical="center" wrapText="1"/>
    </x:xf>
    <x:xf numFmtId="204" fontId="18" fillId="24" borderId="195" xfId="0" applyNumberFormat="1" applyFont="1" applyFill="1" applyBorder="1" applyAlignment="1">
      <x:alignment horizontal="center" vertical="center" wrapText="1"/>
    </x:xf>
    <x:xf numFmtId="204" fontId="18" fillId="24" borderId="196" xfId="0" applyNumberFormat="1" applyFont="1" applyFill="1" applyBorder="1" applyAlignment="1">
      <x:alignment horizontal="center" vertical="center" wrapText="1"/>
    </x:xf>
    <x:xf numFmtId="204" fontId="18" fillId="16" borderId="158" xfId="0" applyNumberFormat="1" applyFont="1" applyFill="1" applyBorder="1" applyAlignment="1">
      <x:alignment horizontal="center" vertical="center" wrapText="1"/>
    </x:xf>
    <x:xf numFmtId="204" fontId="18" fillId="16" borderId="159" xfId="0" applyNumberFormat="1" applyFont="1" applyFill="1" applyBorder="1" applyAlignment="1">
      <x:alignment horizontal="center" vertical="center" wrapText="1"/>
    </x:xf>
    <x:xf numFmtId="204" fontId="18" fillId="16" borderId="160" xfId="0" applyNumberFormat="1" applyFont="1" applyFill="1" applyBorder="1" applyAlignment="1">
      <x:alignment horizontal="center" vertical="center" wrapText="1"/>
    </x:xf>
    <x:xf numFmtId="204" fontId="18" fillId="15" borderId="149" xfId="0" applyNumberFormat="1" applyFont="1" applyFill="1" applyBorder="1" applyAlignment="1">
      <x:alignment horizontal="center" vertical="center" wrapText="1"/>
    </x:xf>
    <x:xf numFmtId="204" fontId="18" fillId="15" borderId="150" xfId="0" applyNumberFormat="1" applyFont="1" applyFill="1" applyBorder="1" applyAlignment="1">
      <x:alignment horizontal="center" vertical="center" wrapText="1"/>
    </x:xf>
    <x:xf numFmtId="204" fontId="18" fillId="15" borderId="151" xfId="0" applyNumberFormat="1" applyFont="1" applyFill="1" applyBorder="1" applyAlignment="1">
      <x:alignment horizontal="center" vertical="center" wrapText="1"/>
    </x:xf>
    <x:xf numFmtId="204" fontId="52" fillId="20" borderId="188" xfId="0" applyNumberFormat="1" applyFont="1" applyFill="1" applyBorder="1" applyAlignment="1">
      <x:alignment horizontal="center" vertical="center"/>
    </x:xf>
    <x:xf numFmtId="204" fontId="52" fillId="20" borderId="189" xfId="0" applyNumberFormat="1" applyFont="1" applyFill="1" applyBorder="1" applyAlignment="1">
      <x:alignment horizontal="center" vertical="center"/>
    </x:xf>
    <x:xf numFmtId="204" fontId="52" fillId="20" borderId="190" xfId="0" applyNumberFormat="1" applyFont="1" applyFill="1" applyBorder="1" applyAlignment="1">
      <x:alignment horizontal="center" vertical="center"/>
    </x:xf>
    <x:xf numFmtId="204" fontId="53" fillId="20" borderId="197" xfId="0" applyNumberFormat="1" applyFont="1" applyFill="1" applyBorder="1" applyAlignment="1">
      <x:alignment horizontal="center" vertical="center"/>
    </x:xf>
    <x:xf numFmtId="204" fontId="53" fillId="20" borderId="198" xfId="0" applyNumberFormat="1" applyFont="1" applyFill="1" applyBorder="1" applyAlignment="1">
      <x:alignment horizontal="center" vertical="center"/>
    </x:xf>
    <x:xf numFmtId="204" fontId="53" fillId="20" borderId="199" xfId="0" applyNumberFormat="1" applyFont="1" applyFill="1" applyBorder="1" applyAlignment="1">
      <x:alignment horizontal="center" vertical="center"/>
    </x:xf>
    <x:xf numFmtId="204" fontId="52" fillId="20" borderId="191" xfId="0" applyNumberFormat="1" applyFont="1" applyFill="1" applyBorder="1" applyAlignment="1">
      <x:alignment horizontal="center" vertical="center"/>
    </x:xf>
    <x:xf numFmtId="204" fontId="52" fillId="20" borderId="192" xfId="0" applyNumberFormat="1" applyFont="1" applyFill="1" applyBorder="1" applyAlignment="1">
      <x:alignment horizontal="center" vertical="center"/>
    </x:xf>
    <x:xf numFmtId="204" fontId="52" fillId="20" borderId="193" xfId="0" applyNumberFormat="1" applyFont="1" applyFill="1" applyBorder="1" applyAlignment="1">
      <x:alignment horizontal="center" vertical="center"/>
    </x:xf>
    <x:xf numFmtId="204" fontId="53" fillId="20" borderId="200" xfId="0" applyNumberFormat="1" applyFont="1" applyFill="1" applyBorder="1" applyAlignment="1">
      <x:alignment horizontal="center" vertical="center"/>
    </x:xf>
    <x:xf numFmtId="204" fontId="53" fillId="20" borderId="201" xfId="0" applyNumberFormat="1" applyFont="1" applyFill="1" applyBorder="1" applyAlignment="1">
      <x:alignment horizontal="center" vertical="center"/>
    </x:xf>
    <x:xf numFmtId="204" fontId="53" fillId="20" borderId="202" xfId="0" applyNumberFormat="1" applyFont="1" applyFill="1" applyBorder="1" applyAlignment="1">
      <x:alignment horizontal="center" vertical="center"/>
    </x:xf>
    <x:xf numFmtId="201" fontId="49" fillId="20" borderId="161" xfId="0" applyNumberFormat="1" applyFont="1" applyFill="1" applyBorder="1" applyAlignment="1">
      <x:alignment horizontal="center" vertical="center"/>
    </x:xf>
    <x:xf numFmtId="201" fontId="49" fillId="20" borderId="162" xfId="0" applyNumberFormat="1" applyFont="1" applyFill="1" applyBorder="1" applyAlignment="1">
      <x:alignment horizontal="center" vertical="center"/>
    </x:xf>
    <x:xf numFmtId="201" fontId="49" fillId="20" borderId="163" xfId="0" applyNumberFormat="1" applyFont="1" applyFill="1" applyBorder="1" applyAlignment="1">
      <x:alignment horizontal="center" vertical="center"/>
    </x:xf>
    <x:xf numFmtId="201" fontId="49" fillId="20" borderId="164" xfId="0" applyNumberFormat="1" applyFont="1" applyFill="1" applyBorder="1" applyAlignment="1">
      <x:alignment horizontal="center" vertical="center"/>
    </x:xf>
    <x:xf numFmtId="201" fontId="49" fillId="20" borderId="165" xfId="0" applyNumberFormat="1" applyFont="1" applyFill="1" applyBorder="1" applyAlignment="1">
      <x:alignment horizontal="center" vertical="center"/>
    </x:xf>
    <x:xf numFmtId="201" fontId="49" fillId="20" borderId="166" xfId="0" applyNumberFormat="1" applyFont="1" applyFill="1" applyBorder="1" applyAlignment="1">
      <x:alignment horizontal="center" vertical="center"/>
    </x:xf>
    <x:xf numFmtId="201" fontId="48" fillId="20" borderId="152" xfId="0" applyNumberFormat="1" applyFont="1" applyFill="1" applyBorder="1" applyAlignment="1">
      <x:alignment horizontal="center" vertical="center"/>
    </x:xf>
    <x:xf numFmtId="201" fontId="48" fillId="20" borderId="153" xfId="0" applyNumberFormat="1" applyFont="1" applyFill="1" applyBorder="1" applyAlignment="1">
      <x:alignment horizontal="center" vertical="center"/>
    </x:xf>
    <x:xf numFmtId="201" fontId="48" fillId="20" borderId="154" xfId="0" applyNumberFormat="1" applyFont="1" applyFill="1" applyBorder="1" applyAlignment="1">
      <x:alignment horizontal="center" vertical="center"/>
    </x:xf>
    <x:xf numFmtId="201" fontId="48" fillId="20" borderId="155" xfId="0" applyNumberFormat="1" applyFont="1" applyFill="1" applyBorder="1" applyAlignment="1">
      <x:alignment horizontal="center" vertical="center"/>
    </x:xf>
    <x:xf numFmtId="201" fontId="48" fillId="20" borderId="156" xfId="0" applyNumberFormat="1" applyFont="1" applyFill="1" applyBorder="1" applyAlignment="1">
      <x:alignment horizontal="center" vertical="center"/>
    </x:xf>
    <x:xf numFmtId="201" fontId="48" fillId="20" borderId="157" xfId="0" applyNumberFormat="1" applyFont="1" applyFill="1" applyBorder="1" applyAlignment="1">
      <x:alignment horizontal="center" vertical="center"/>
    </x:xf>
    <x:xf numFmtId="206" fontId="42" fillId="0" borderId="148" xfId="0" applyNumberFormat="1" applyFont="1" applyFill="1" applyBorder="1" applyAlignment="1">
      <x:alignment vertical="center"/>
    </x:xf>
    <x:xf numFmtId="0" fontId="47" fillId="18" borderId="0" xfId="0" applyNumberFormat="1" applyFont="1" applyFill="1" applyBorder="1" applyAlignment="1">
      <x:alignment horizontal="center" vertical="center" wrapText="1"/>
    </x:xf>
    <x:xf numFmtId="204" fontId="48" fillId="20" borderId="152" xfId="0" applyNumberFormat="1" applyFont="1" applyFill="1" applyBorder="1" applyAlignment="1">
      <x:alignment horizontal="center" vertical="center" wrapText="1"/>
    </x:xf>
    <x:xf numFmtId="204" fontId="48" fillId="20" borderId="153" xfId="0" applyNumberFormat="1" applyFont="1" applyFill="1" applyBorder="1" applyAlignment="1">
      <x:alignment horizontal="center" vertical="center" wrapText="1"/>
    </x:xf>
    <x:xf numFmtId="204" fontId="48" fillId="20" borderId="154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204" fontId="49" fillId="20" borderId="161" xfId="0" applyNumberFormat="1" applyFont="1" applyFill="1" applyBorder="1" applyAlignment="1">
      <x:alignment horizontal="center" vertical="center" wrapText="1"/>
    </x:xf>
    <x:xf numFmtId="204" fontId="49" fillId="20" borderId="162" xfId="0" applyNumberFormat="1" applyFont="1" applyFill="1" applyBorder="1" applyAlignment="1">
      <x:alignment horizontal="center" vertical="center" wrapText="1"/>
    </x:xf>
    <x:xf numFmtId="204" fontId="49" fillId="20" borderId="163" xfId="0" applyNumberFormat="1" applyFont="1" applyFill="1" applyBorder="1" applyAlignment="1">
      <x:alignment horizontal="center" vertical="center" wrapText="1"/>
    </x:xf>
    <x:xf numFmtId="204" fontId="50" fillId="20" borderId="170" xfId="0" applyNumberFormat="1" applyFont="1" applyFill="1" applyBorder="1" applyAlignment="1">
      <x:alignment horizontal="center" vertical="center" wrapText="1"/>
    </x:xf>
    <x:xf numFmtId="204" fontId="50" fillId="20" borderId="171" xfId="0" applyNumberFormat="1" applyFont="1" applyFill="1" applyBorder="1" applyAlignment="1">
      <x:alignment horizontal="center" vertical="center" wrapText="1"/>
    </x:xf>
    <x:xf numFmtId="204" fontId="50" fillId="20" borderId="172" xfId="0" applyNumberFormat="1" applyFont="1" applyFill="1" applyBorder="1" applyAlignment="1">
      <x:alignment horizontal="center" vertical="center" wrapText="1"/>
    </x:xf>
    <x:xf numFmtId="204" fontId="51" fillId="20" borderId="179" xfId="0" applyNumberFormat="1" applyFont="1" applyFill="1" applyBorder="1" applyAlignment="1">
      <x:alignment horizontal="center" vertical="center" wrapText="1"/>
    </x:xf>
    <x:xf numFmtId="204" fontId="51" fillId="20" borderId="180" xfId="0" applyNumberFormat="1" applyFont="1" applyFill="1" applyBorder="1" applyAlignment="1">
      <x:alignment horizontal="center" vertical="center" wrapText="1"/>
    </x:xf>
    <x:xf numFmtId="204" fontId="51" fillId="20" borderId="181" xfId="0" applyNumberFormat="1" applyFont="1" applyFill="1" applyBorder="1" applyAlignment="1">
      <x:alignment horizontal="center" vertical="center" wrapText="1"/>
    </x:xf>
    <x:xf numFmtId="204" fontId="48" fillId="20" borderId="155" xfId="0" applyNumberFormat="1" applyFont="1" applyFill="1" applyBorder="1" applyAlignment="1">
      <x:alignment horizontal="center" vertical="center" wrapText="1"/>
    </x:xf>
    <x:xf numFmtId="204" fontId="48" fillId="20" borderId="156" xfId="0" applyNumberFormat="1" applyFont="1" applyFill="1" applyBorder="1" applyAlignment="1">
      <x:alignment horizontal="center" vertical="center" wrapText="1"/>
    </x:xf>
    <x:xf numFmtId="204" fontId="48" fillId="20" borderId="157" xfId="0" applyNumberFormat="1" applyFont="1" applyFill="1" applyBorder="1" applyAlignment="1">
      <x:alignment horizontal="center" vertical="center" wrapText="1"/>
    </x:xf>
    <x:xf numFmtId="204" fontId="49" fillId="20" borderId="164" xfId="0" applyNumberFormat="1" applyFont="1" applyFill="1" applyBorder="1" applyAlignment="1">
      <x:alignment horizontal="center" vertical="center" wrapText="1"/>
    </x:xf>
    <x:xf numFmtId="204" fontId="49" fillId="20" borderId="165" xfId="0" applyNumberFormat="1" applyFont="1" applyFill="1" applyBorder="1" applyAlignment="1">
      <x:alignment horizontal="center" vertical="center" wrapText="1"/>
    </x:xf>
    <x:xf numFmtId="204" fontId="49" fillId="20" borderId="166" xfId="0" applyNumberFormat="1" applyFont="1" applyFill="1" applyBorder="1" applyAlignment="1">
      <x:alignment horizontal="center" vertical="center" wrapText="1"/>
    </x:xf>
    <x:xf numFmtId="204" fontId="50" fillId="20" borderId="173" xfId="0" applyNumberFormat="1" applyFont="1" applyFill="1" applyBorder="1" applyAlignment="1">
      <x:alignment horizontal="center" vertical="center" wrapText="1"/>
    </x:xf>
    <x:xf numFmtId="204" fontId="50" fillId="20" borderId="174" xfId="0" applyNumberFormat="1" applyFont="1" applyFill="1" applyBorder="1" applyAlignment="1">
      <x:alignment horizontal="center" vertical="center" wrapText="1"/>
    </x:xf>
    <x:xf numFmtId="204" fontId="50" fillId="20" borderId="175" xfId="0" applyNumberFormat="1" applyFont="1" applyFill="1" applyBorder="1" applyAlignment="1">
      <x:alignment horizontal="center" vertical="center" wrapText="1"/>
    </x:xf>
    <x:xf numFmtId="204" fontId="51" fillId="20" borderId="182" xfId="0" applyNumberFormat="1" applyFont="1" applyFill="1" applyBorder="1" applyAlignment="1">
      <x:alignment horizontal="center" vertical="center" wrapText="1"/>
    </x:xf>
    <x:xf numFmtId="204" fontId="51" fillId="20" borderId="183" xfId="0" applyNumberFormat="1" applyFont="1" applyFill="1" applyBorder="1" applyAlignment="1">
      <x:alignment horizontal="center" vertical="center" wrapText="1"/>
    </x:xf>
    <x:xf numFmtId="204" fontId="51" fillId="20" borderId="184" xfId="0" applyNumberFormat="1" applyFont="1" applyFill="1" applyBorder="1" applyAlignment="1">
      <x:alignment horizontal="center" vertical="center" wrapText="1"/>
    </x:xf>
    <x:xf numFmtId="204" fontId="52" fillId="20" borderId="188" xfId="0" applyNumberFormat="1" applyFont="1" applyFill="1" applyBorder="1" applyAlignment="1">
      <x:alignment horizontal="center" vertical="center" wrapText="1"/>
    </x:xf>
    <x:xf numFmtId="204" fontId="52" fillId="20" borderId="189" xfId="0" applyNumberFormat="1" applyFont="1" applyFill="1" applyBorder="1" applyAlignment="1">
      <x:alignment horizontal="center" vertical="center" wrapText="1"/>
    </x:xf>
    <x:xf numFmtId="204" fontId="52" fillId="20" borderId="190" xfId="0" applyNumberFormat="1" applyFont="1" applyFill="1" applyBorder="1" applyAlignment="1">
      <x:alignment horizontal="center" vertical="center" wrapText="1"/>
    </x:xf>
    <x:xf numFmtId="204" fontId="53" fillId="20" borderId="197" xfId="0" applyNumberFormat="1" applyFont="1" applyFill="1" applyBorder="1" applyAlignment="1">
      <x:alignment horizontal="center" vertical="center" wrapText="1"/>
    </x:xf>
    <x:xf numFmtId="204" fontId="53" fillId="20" borderId="198" xfId="0" applyNumberFormat="1" applyFont="1" applyFill="1" applyBorder="1" applyAlignment="1">
      <x:alignment horizontal="center" vertical="center" wrapText="1"/>
    </x:xf>
    <x:xf numFmtId="204" fontId="53" fillId="20" borderId="199" xfId="0" applyNumberFormat="1" applyFont="1" applyFill="1" applyBorder="1" applyAlignment="1">
      <x:alignment horizontal="center" vertical="center" wrapText="1"/>
    </x:xf>
    <x:xf numFmtId="201" fontId="49" fillId="20" borderId="161" xfId="0" applyNumberFormat="1" applyFont="1" applyFill="1" applyBorder="1" applyAlignment="1">
      <x:alignment horizontal="center" vertical="center" wrapText="1"/>
    </x:xf>
    <x:xf numFmtId="201" fontId="49" fillId="20" borderId="162" xfId="0" applyNumberFormat="1" applyFont="1" applyFill="1" applyBorder="1" applyAlignment="1">
      <x:alignment horizontal="center" vertical="center" wrapText="1"/>
    </x:xf>
    <x:xf numFmtId="201" fontId="49" fillId="20" borderId="163" xfId="0" applyNumberFormat="1" applyFont="1" applyFill="1" applyBorder="1" applyAlignment="1">
      <x:alignment horizontal="center" vertical="center" wrapText="1"/>
    </x:xf>
    <x:xf numFmtId="201" fontId="48" fillId="20" borderId="152" xfId="0" applyNumberFormat="1" applyFont="1" applyFill="1" applyBorder="1" applyAlignment="1">
      <x:alignment horizontal="center" vertical="center" wrapText="1"/>
    </x:xf>
    <x:xf numFmtId="201" fontId="48" fillId="20" borderId="153" xfId="0" applyNumberFormat="1" applyFont="1" applyFill="1" applyBorder="1" applyAlignment="1">
      <x:alignment horizontal="center" vertical="center" wrapText="1"/>
    </x:xf>
    <x:xf numFmtId="201" fontId="48" fillId="20" borderId="154" xfId="0" applyNumberFormat="1" applyFont="1" applyFill="1" applyBorder="1" applyAlignment="1">
      <x:alignment horizontal="center" vertical="center" wrapText="1"/>
    </x:xf>
    <x:xf numFmtId="204" fontId="52" fillId="20" borderId="191" xfId="0" applyNumberFormat="1" applyFont="1" applyFill="1" applyBorder="1" applyAlignment="1">
      <x:alignment horizontal="center" vertical="center" wrapText="1"/>
    </x:xf>
    <x:xf numFmtId="204" fontId="52" fillId="20" borderId="192" xfId="0" applyNumberFormat="1" applyFont="1" applyFill="1" applyBorder="1" applyAlignment="1">
      <x:alignment horizontal="center" vertical="center" wrapText="1"/>
    </x:xf>
    <x:xf numFmtId="204" fontId="52" fillId="20" borderId="193" xfId="0" applyNumberFormat="1" applyFont="1" applyFill="1" applyBorder="1" applyAlignment="1">
      <x:alignment horizontal="center" vertical="center" wrapText="1"/>
    </x:xf>
    <x:xf numFmtId="204" fontId="53" fillId="20" borderId="200" xfId="0" applyNumberFormat="1" applyFont="1" applyFill="1" applyBorder="1" applyAlignment="1">
      <x:alignment horizontal="center" vertical="center" wrapText="1"/>
    </x:xf>
    <x:xf numFmtId="204" fontId="53" fillId="20" borderId="201" xfId="0" applyNumberFormat="1" applyFont="1" applyFill="1" applyBorder="1" applyAlignment="1">
      <x:alignment horizontal="center" vertical="center" wrapText="1"/>
    </x:xf>
    <x:xf numFmtId="204" fontId="53" fillId="20" borderId="202" xfId="0" applyNumberFormat="1" applyFont="1" applyFill="1" applyBorder="1" applyAlignment="1">
      <x:alignment horizontal="center" vertical="center" wrapText="1"/>
    </x:xf>
    <x:xf numFmtId="201" fontId="49" fillId="20" borderId="164" xfId="0" applyNumberFormat="1" applyFont="1" applyFill="1" applyBorder="1" applyAlignment="1">
      <x:alignment horizontal="center" vertical="center" wrapText="1"/>
    </x:xf>
    <x:xf numFmtId="201" fontId="49" fillId="20" borderId="165" xfId="0" applyNumberFormat="1" applyFont="1" applyFill="1" applyBorder="1" applyAlignment="1">
      <x:alignment horizontal="center" vertical="center" wrapText="1"/>
    </x:xf>
    <x:xf numFmtId="201" fontId="49" fillId="20" borderId="166" xfId="0" applyNumberFormat="1" applyFont="1" applyFill="1" applyBorder="1" applyAlignment="1">
      <x:alignment horizontal="center" vertical="center" wrapText="1"/>
    </x:xf>
    <x:xf numFmtId="201" fontId="48" fillId="20" borderId="155" xfId="0" applyNumberFormat="1" applyFont="1" applyFill="1" applyBorder="1" applyAlignment="1">
      <x:alignment horizontal="center" vertical="center" wrapText="1"/>
    </x:xf>
    <x:xf numFmtId="201" fontId="48" fillId="20" borderId="156" xfId="0" applyNumberFormat="1" applyFont="1" applyFill="1" applyBorder="1" applyAlignment="1">
      <x:alignment horizontal="center" vertical="center" wrapText="1"/>
    </x:xf>
    <x:xf numFmtId="201" fontId="48" fillId="20" borderId="157" xfId="0" applyNumberFormat="1" applyFont="1" applyFill="1" applyBorder="1" applyAlignment="1">
      <x:alignment horizontal="center" vertical="center" wrapText="1"/>
    </x:xf>
    <x:xf numFmtId="206" fontId="42" fillId="0" borderId="148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54" fillId="25" borderId="0" xfId="0" applyNumberFormat="1" applyFont="1" applyFill="1" applyBorder="1"/>
    <x:xf numFmtId="0" fontId="54" fillId="25" borderId="0" xfId="0" applyNumberFormat="1" applyFont="1" applyFill="1" applyBorder="1" applyAlignment="1">
      <x:alignment vertical="center"/>
    </x:xf>
    <x:xf numFmtId="0" fontId="45" fillId="0" borderId="0" xfId="0" applyNumberFormat="1" applyFont="1" applyFill="1" applyBorder="1"/>
    <x:xf numFmtId="0" fontId="40" fillId="25" borderId="0" xfId="0" applyNumberFormat="1" applyFont="1" applyFill="1" applyBorder="1"/>
    <x:xf numFmtId="0" fontId="40" fillId="25" borderId="147" xfId="0" applyNumberFormat="1" applyFont="1" applyFill="1" applyBorder="1"/>
    <x:xf numFmtId="0" fontId="40" fillId="25" borderId="147" xfId="0" applyNumberFormat="1" applyFont="1" applyFill="1" applyBorder="1" applyAlignment="1">
      <x:alignment wrapText="1"/>
    </x:xf>
    <x:xf numFmtId="0" fontId="40" fillId="25" borderId="147" xfId="0" applyNumberFormat="1" applyFont="1" applyFill="1" applyBorder="1" applyAlignment="1">
      <x:alignment horizontal="center" wrapText="1"/>
    </x:xf>
    <x:xf numFmtId="0" fontId="40" fillId="25" borderId="147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18" fillId="26" borderId="0" xfId="0" applyNumberFormat="1" applyFont="1" applyFill="1" applyBorder="1"/>
    <x:xf numFmtId="0" fontId="18" fillId="26" borderId="0" xfId="0" applyNumberFormat="1" applyFont="1" applyFill="1" applyBorder="1" applyAlignment="1">
      <x:alignment vertical="center"/>
    </x:xf>
    <x:xf numFmtId="0" fontId="45" fillId="25" borderId="147" xfId="0" applyNumberFormat="1" applyFont="1" applyFill="1" applyBorder="1" applyAlignment="1">
      <x:alignment horizontal="center" vertical="center" wrapText="1"/>
    </x:xf>
    <x:xf numFmtId="0" fontId="45" fillId="26" borderId="0" xfId="0" applyNumberFormat="1" applyFont="1" applyFill="1" applyBorder="1" applyAlignment="1">
      <x:alignment vertical="center"/>
    </x:xf>
    <x:xf numFmtId="0" fontId="43" fillId="0" borderId="0" xfId="0" applyNumberFormat="1" applyFont="1" applyFill="1" applyBorder="1"/>
    <x:xf numFmtId="0" fontId="45" fillId="25" borderId="203" xfId="0" applyNumberFormat="1" applyFont="1" applyFill="1" applyBorder="1" applyAlignment="1">
      <x:alignment horizontal="center" vertical="center" wrapText="1"/>
    </x:xf>
    <x:xf numFmtId="0" fontId="45" fillId="26" borderId="203" xfId="0" applyNumberFormat="1" applyFont="1" applyFill="1" applyBorder="1" applyAlignment="1">
      <x:alignment vertical="center"/>
    </x:xf>
    <x:xf numFmtId="0" fontId="43" fillId="0" borderId="203" xfId="0" applyNumberFormat="1" applyFont="1" applyFill="1" applyBorder="1"/>
    <x:xf numFmtId="0" fontId="43" fillId="0" borderId="203" xfId="0" applyNumberFormat="1" applyFont="1" applyFill="1" applyBorder="1" applyAlignment="1">
      <x:alignment vertical="center"/>
    </x:xf>
    <x:xf numFmtId="203" fontId="43" fillId="0" borderId="203" xfId="0" applyNumberFormat="1" applyFont="1" applyFill="1" applyBorder="1" applyAlignment="1">
      <x:alignment vertical="center"/>
    </x:xf>
    <x:xf numFmtId="203" fontId="45" fillId="26" borderId="203" xfId="0" applyNumberFormat="1" applyFont="1" applyFill="1" applyBorder="1" applyAlignment="1">
      <x:alignment vertical="center"/>
    </x:xf>
    <x:xf numFmtId="0" fontId="43" fillId="27" borderId="203" xfId="0" applyNumberFormat="1" applyFont="1" applyFill="1" applyBorder="1" applyAlignment="1">
      <x:alignment vertical="center"/>
    </x:xf>
    <x:xf numFmtId="203" fontId="43" fillId="27" borderId="203" xfId="0" applyNumberFormat="1" applyFont="1" applyFill="1" applyBorder="1" applyAlignment="1">
      <x:alignment vertical="center"/>
    </x:xf>
    <x:xf numFmtId="0" fontId="43" fillId="28" borderId="203" xfId="0" applyNumberFormat="1" applyFont="1" applyFill="1" applyBorder="1" applyAlignment="1">
      <x:alignment vertical="center"/>
    </x:xf>
    <x:xf numFmtId="203" fontId="43" fillId="28" borderId="203" xfId="0" applyNumberFormat="1" applyFont="1" applyFill="1" applyBorder="1" applyAlignment="1">
      <x:alignment vertical="center"/>
    </x:xf>
    <x:xf numFmtId="0" fontId="43" fillId="29" borderId="203" xfId="0" applyNumberFormat="1" applyFont="1" applyFill="1" applyBorder="1" applyAlignment="1">
      <x:alignment vertical="center"/>
    </x:xf>
    <x:xf numFmtId="203" fontId="43" fillId="29" borderId="203" xfId="0" applyNumberFormat="1" applyFont="1" applyFill="1" applyBorder="1" applyAlignment="1">
      <x:alignment vertical="center"/>
    </x:xf>
    <x:xf numFmtId="0" fontId="45" fillId="27" borderId="203" xfId="0" applyNumberFormat="1" applyFont="1" applyFill="1" applyBorder="1" applyAlignment="1">
      <x:alignment vertical="center"/>
    </x:xf>
    <x:xf numFmtId="203" fontId="45" fillId="27" borderId="203" xfId="0" applyNumberFormat="1" applyFont="1" applyFill="1" applyBorder="1" applyAlignment="1">
      <x:alignment vertical="center"/>
    </x:xf>
    <x:xf numFmtId="0" fontId="45" fillId="28" borderId="203" xfId="0" applyNumberFormat="1" applyFont="1" applyFill="1" applyBorder="1" applyAlignment="1">
      <x:alignment vertical="center"/>
    </x:xf>
    <x:xf numFmtId="203" fontId="45" fillId="28" borderId="203" xfId="0" applyNumberFormat="1" applyFont="1" applyFill="1" applyBorder="1" applyAlignment="1">
      <x:alignment vertical="center"/>
    </x:xf>
    <x:xf numFmtId="0" fontId="45" fillId="29" borderId="203" xfId="0" applyNumberFormat="1" applyFont="1" applyFill="1" applyBorder="1" applyAlignment="1">
      <x:alignment vertical="center"/>
    </x:xf>
    <x:xf numFmtId="203" fontId="45" fillId="29" borderId="203" xfId="0" applyNumberFormat="1" applyFont="1" applyFill="1" applyBorder="1" applyAlignment="1">
      <x:alignment vertical="center"/>
    </x:xf>
    <x:xf numFmtId="0" fontId="45" fillId="26" borderId="203" xfId="0" applyNumberFormat="1" applyFont="1" applyFill="1" applyBorder="1" applyAlignment="1">
      <x:alignment vertical="center" wrapText="1"/>
    </x:xf>
    <x:xf numFmtId="0" fontId="43" fillId="0" borderId="203" xfId="0" applyNumberFormat="1" applyFont="1" applyFill="1" applyBorder="1" applyAlignment="1">
      <x:alignment vertical="center" wrapText="1"/>
    </x:xf>
    <x:xf numFmtId="203" fontId="43" fillId="0" borderId="203" xfId="0" applyNumberFormat="1" applyFont="1" applyFill="1" applyBorder="1" applyAlignment="1">
      <x:alignment vertical="center" wrapText="1"/>
    </x:xf>
    <x:xf numFmtId="0" fontId="45" fillId="27" borderId="203" xfId="0" applyNumberFormat="1" applyFont="1" applyFill="1" applyBorder="1" applyAlignment="1">
      <x:alignment vertical="center" wrapText="1"/>
    </x:xf>
    <x:xf numFmtId="203" fontId="45" fillId="27" borderId="203" xfId="0" applyNumberFormat="1" applyFont="1" applyFill="1" applyBorder="1" applyAlignment="1">
      <x:alignment vertical="center" wrapText="1"/>
    </x:xf>
    <x:xf numFmtId="203" fontId="45" fillId="26" borderId="203" xfId="0" applyNumberFormat="1" applyFont="1" applyFill="1" applyBorder="1" applyAlignment="1">
      <x:alignment vertical="center" wrapText="1"/>
    </x:xf>
    <x:xf numFmtId="0" fontId="45" fillId="28" borderId="203" xfId="0" applyNumberFormat="1" applyFont="1" applyFill="1" applyBorder="1" applyAlignment="1">
      <x:alignment vertical="center" wrapText="1"/>
    </x:xf>
    <x:xf numFmtId="203" fontId="45" fillId="28" borderId="203" xfId="0" applyNumberFormat="1" applyFont="1" applyFill="1" applyBorder="1" applyAlignment="1">
      <x:alignment vertical="center" wrapText="1"/>
    </x:xf>
    <x:xf numFmtId="0" fontId="45" fillId="29" borderId="203" xfId="0" applyNumberFormat="1" applyFont="1" applyFill="1" applyBorder="1" applyAlignment="1">
      <x:alignment vertical="center" wrapText="1"/>
    </x:xf>
    <x:xf numFmtId="203" fontId="45" fillId="29" borderId="203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203" fontId="0" fillId="30" borderId="0" xfId="0" applyNumberFormat="1" applyFont="1" applyFill="1" applyBorder="1"/>
    <x:xf numFmtId="203" fontId="45" fillId="0" borderId="0" xfId="0" applyNumberFormat="1" applyFont="1" applyFill="1" applyBorder="1"/>
    <x:xf numFmtId="0" fontId="54" fillId="25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41" fillId="31" borderId="0" xfId="0" applyNumberFormat="1" applyFont="1" applyFill="1" applyBorder="1"/>
    <x:xf numFmtId="0" fontId="41" fillId="31" borderId="203" xfId="0" applyNumberFormat="1" applyFont="1" applyFill="1" applyBorder="1"/>
    <x:xf numFmtId="0" fontId="41" fillId="31" borderId="203" xfId="0" applyNumberFormat="1" applyFont="1" applyFill="1" applyBorder="1" applyAlignment="1">
      <x:alignment vertical="center"/>
    </x:xf>
    <x:xf numFmtId="201" fontId="41" fillId="31" borderId="203" xfId="0" applyNumberFormat="1" applyFont="1" applyFill="1" applyBorder="1" applyAlignment="1">
      <x:alignment vertical="center"/>
    </x:xf>
    <x:xf numFmtId="0" fontId="0" fillId="32" borderId="0" xfId="0" applyNumberFormat="1" applyFont="1" applyFill="1" applyBorder="1" applyAlignment="1">
      <x:alignment wrapText="1"/>
    </x:xf>
    <x:xf numFmtId="0" fontId="55" fillId="32" borderId="0" xfId="0" applyNumberFormat="1" applyFont="1" applyFill="1" applyBorder="1" applyAlignment="1">
      <x:alignment wrapText="1"/>
    </x:xf>
    <x:xf numFmtId="0" fontId="55" fillId="32" borderId="204" xfId="0" applyNumberFormat="1" applyFont="1" applyFill="1" applyBorder="1" applyAlignment="1">
      <x:alignment wrapText="1"/>
    </x:xf>
    <x:xf numFmtId="0" fontId="55" fillId="32" borderId="205" xfId="0" applyNumberFormat="1" applyFont="1" applyFill="1" applyBorder="1" applyAlignment="1">
      <x:alignment wrapText="1"/>
    </x:xf>
    <x:xf numFmtId="0" fontId="55" fillId="32" borderId="206" xfId="0" applyNumberFormat="1" applyFont="1" applyFill="1" applyBorder="1" applyAlignment="1">
      <x:alignment wrapText="1"/>
    </x:xf>
    <x:xf numFmtId="0" fontId="55" fillId="32" borderId="204" xfId="0" applyNumberFormat="1" applyFont="1" applyFill="1" applyBorder="1" applyAlignment="1">
      <x:alignment horizontal="center" wrapText="1"/>
    </x:xf>
    <x:xf numFmtId="0" fontId="55" fillId="32" borderId="205" xfId="0" applyNumberFormat="1" applyFont="1" applyFill="1" applyBorder="1" applyAlignment="1">
      <x:alignment horizontal="center" wrapText="1"/>
    </x:xf>
    <x:xf numFmtId="0" fontId="55" fillId="32" borderId="206" xfId="0" applyNumberFormat="1" applyFont="1" applyFill="1" applyBorder="1" applyAlignment="1">
      <x:alignment horizontal="center" wrapText="1"/>
    </x:xf>
    <x:xf numFmtId="0" fontId="55" fillId="32" borderId="204" xfId="0" applyNumberFormat="1" applyFont="1" applyFill="1" applyBorder="1" applyAlignment="1">
      <x:alignment horizontal="center" vertical="center" wrapText="1"/>
    </x:xf>
    <x:xf numFmtId="0" fontId="55" fillId="32" borderId="205" xfId="0" applyNumberFormat="1" applyFont="1" applyFill="1" applyBorder="1" applyAlignment="1">
      <x:alignment horizontal="center" vertical="center" wrapText="1"/>
    </x:xf>
    <x:xf numFmtId="0" fontId="55" fillId="32" borderId="206" xfId="0" applyNumberFormat="1" applyFont="1" applyFill="1" applyBorder="1" applyAlignment="1">
      <x:alignment horizontal="center" vertical="center" wrapText="1"/>
    </x:xf>
    <x:xf numFmtId="0" fontId="0" fillId="33" borderId="0" xfId="0" applyNumberFormat="1" applyFont="1" applyFill="1" applyBorder="1"/>
    <x:xf numFmtId="0" fontId="56" fillId="33" borderId="0" xfId="0" applyNumberFormat="1" applyFont="1" applyFill="1" applyBorder="1"/>
    <x:xf numFmtId="0" fontId="56" fillId="33" borderId="0" xfId="0" applyNumberFormat="1" applyFont="1" applyFill="1" applyBorder="1" applyAlignment="1">
      <x:alignment wrapText="1"/>
    </x:xf>
    <x:xf numFmtId="0" fontId="56" fillId="33" borderId="0" xfId="0" applyNumberFormat="1" applyFont="1" applyFill="1" applyBorder="1" applyAlignment="1">
      <x:alignment horizontal="left" wrapText="1"/>
    </x:xf>
    <x:xf numFmtId="0" fontId="56" fillId="33" borderId="0" xfId="0" applyNumberFormat="1" applyFont="1" applyFill="1" applyBorder="1" applyAlignment="1">
      <x:alignment horizontal="left" vertical="center" wrapText="1"/>
    </x:xf>
    <x:xf numFmtId="0" fontId="0" fillId="34" borderId="0" xfId="0" applyNumberFormat="1" applyFont="1" applyFill="1" applyBorder="1"/>
    <x:xf numFmtId="0" fontId="57" fillId="34" borderId="0" xfId="0" applyNumberFormat="1" applyFont="1" applyFill="1" applyBorder="1"/>
    <x:xf numFmtId="0" fontId="57" fillId="34" borderId="0" xfId="0" applyNumberFormat="1" applyFont="1" applyFill="1" applyBorder="1" applyAlignment="1">
      <x:alignment wrapText="1"/>
    </x:xf>
    <x:xf numFmtId="0" fontId="57" fillId="34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58" fillId="35" borderId="0" xfId="0" applyNumberFormat="1" applyFont="1" applyFill="1" applyBorder="1"/>
    <x:xf numFmtId="0" fontId="58" fillId="35" borderId="0" xfId="0" applyNumberFormat="1" applyFont="1" applyFill="1" applyBorder="1" applyAlignment="1">
      <x:alignment horizontal="left"/>
    </x:xf>
    <x:xf numFmtId="0" fontId="58" fillId="35" borderId="0" xfId="0" applyNumberFormat="1" applyFont="1" applyFill="1" applyBorder="1" applyAlignment="1">
      <x:alignment horizontal="left" vertical="center"/>
    </x:xf>
    <x:xf numFmtId="0" fontId="0" fillId="36" borderId="0" xfId="0" applyNumberFormat="1" applyFont="1" applyFill="1" applyBorder="1"/>
    <x:xf numFmtId="0" fontId="59" fillId="36" borderId="0" xfId="0" applyNumberFormat="1" applyFont="1" applyFill="1" applyBorder="1"/>
    <x:xf numFmtId="0" fontId="59" fillId="36" borderId="207" xfId="0" applyNumberFormat="1" applyFont="1" applyFill="1" applyBorder="1"/>
    <x:xf numFmtId="0" fontId="59" fillId="36" borderId="207" xfId="0" applyNumberFormat="1" applyFont="1" applyFill="1" applyBorder="1" applyAlignment="1">
      <x:alignment wrapText="1"/>
    </x:xf>
    <x:xf numFmtId="0" fontId="59" fillId="36" borderId="207" xfId="0" applyNumberFormat="1" applyFont="1" applyFill="1" applyBorder="1" applyAlignment="1">
      <x:alignment horizontal="center" wrapText="1"/>
    </x:xf>
    <x:xf numFmtId="0" fontId="59" fillId="36" borderId="207" xfId="0" applyNumberFormat="1" applyFont="1" applyFill="1" applyBorder="1" applyAlignment="1">
      <x:alignment horizontal="center" vertical="center" wrapText="1"/>
    </x:xf>
    <x:xf numFmtId="0" fontId="60" fillId="0" borderId="0" xfId="0" applyNumberFormat="1" applyFont="1" applyFill="1" applyBorder="1"/>
    <x:xf numFmtId="0" fontId="60" fillId="0" borderId="208" xfId="0" applyNumberFormat="1" applyFont="1" applyFill="1" applyBorder="1"/>
    <x:xf numFmtId="0" fontId="60" fillId="0" borderId="209" xfId="0" applyNumberFormat="1" applyFont="1" applyFill="1" applyBorder="1"/>
    <x:xf numFmtId="0" fontId="60" fillId="0" borderId="208" xfId="0" applyNumberFormat="1" applyFont="1" applyFill="1" applyBorder="1" applyAlignment="1">
      <x:alignment vertical="center"/>
    </x:xf>
    <x:xf numFmtId="0" fontId="60" fillId="0" borderId="209" xfId="0" applyNumberFormat="1" applyFont="1" applyFill="1" applyBorder="1" applyAlignment="1">
      <x:alignment vertical="center"/>
    </x:xf>
    <x:xf numFmtId="207" fontId="60" fillId="0" borderId="208" xfId="0" applyNumberFormat="1" applyFont="1" applyFill="1" applyBorder="1" applyAlignment="1">
      <x:alignment vertical="center"/>
    </x:xf>
    <x:xf numFmtId="207" fontId="60" fillId="0" borderId="209" xfId="0" applyNumberFormat="1" applyFont="1" applyFill="1" applyBorder="1" applyAlignment="1">
      <x:alignment vertical="center"/>
    </x:xf>
    <x:xf numFmtId="207" fontId="61" fillId="0" borderId="208" xfId="0" applyNumberFormat="1" applyFont="1" applyFill="1" applyBorder="1" applyAlignment="1">
      <x:alignment vertical="center"/>
    </x:xf>
    <x:xf numFmtId="207" fontId="61" fillId="0" borderId="209" xfId="0" applyNumberFormat="1" applyFont="1" applyFill="1" applyBorder="1" applyAlignment="1">
      <x:alignment vertical="center"/>
    </x:xf>
    <x:xf numFmtId="0" fontId="61" fillId="0" borderId="208" xfId="0" applyNumberFormat="1" applyFont="1" applyFill="1" applyBorder="1" applyAlignment="1">
      <x:alignment vertical="center"/>
    </x:xf>
    <x:xf numFmtId="0" fontId="61" fillId="0" borderId="209" xfId="0" applyNumberFormat="1" applyFont="1" applyFill="1" applyBorder="1" applyAlignment="1">
      <x:alignment vertical="center"/>
    </x:xf>
    <x:xf numFmtId="208" fontId="60" fillId="0" borderId="209" xfId="0" applyNumberFormat="1" applyFont="1" applyFill="1" applyBorder="1" applyAlignment="1">
      <x:alignment vertical="center"/>
    </x:xf>
    <x:xf numFmtId="208" fontId="61" fillId="0" borderId="209" xfId="0" applyNumberFormat="1" applyFont="1" applyFill="1" applyBorder="1" applyAlignment="1">
      <x:alignment vertical="center"/>
    </x:xf>
    <x:xf numFmtId="0" fontId="60" fillId="37" borderId="209" xfId="0" applyNumberFormat="1" applyFont="1" applyFill="1" applyBorder="1" applyAlignment="1">
      <x:alignment vertical="center"/>
    </x:xf>
    <x:xf numFmtId="208" fontId="60" fillId="37" borderId="209" xfId="0" applyNumberFormat="1" applyFont="1" applyFill="1" applyBorder="1" applyAlignment="1">
      <x:alignment vertical="center"/>
    </x:xf>
    <x:xf numFmtId="0" fontId="59" fillId="37" borderId="209" xfId="0" applyNumberFormat="1" applyFont="1" applyFill="1" applyBorder="1" applyAlignment="1">
      <x:alignment vertical="center"/>
    </x:xf>
    <x:xf numFmtId="208" fontId="59" fillId="37" borderId="209" xfId="0" applyNumberFormat="1" applyFont="1" applyFill="1" applyBorder="1" applyAlignment="1">
      <x:alignment vertical="center"/>
    </x:xf>
    <x:xf numFmtId="0" fontId="59" fillId="37" borderId="210" xfId="0" applyNumberFormat="1" applyFont="1" applyFill="1" applyBorder="1" applyAlignment="1">
      <x:alignment vertical="center"/>
    </x:xf>
    <x:xf numFmtId="208" fontId="59" fillId="37" borderId="21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/>
    <x:xf numFmtId="0" fontId="58" fillId="38" borderId="0" xfId="0" applyNumberFormat="1" applyFont="1" applyFill="1" applyBorder="1"/>
    <x:xf numFmtId="0" fontId="58" fillId="38" borderId="0" xfId="0" applyNumberFormat="1" applyFont="1" applyFill="1" applyBorder="1" applyAlignment="1">
      <x:alignment horizontal="left"/>
    </x:xf>
    <x:xf numFmtId="0" fontId="58" fillId="38" borderId="0" xfId="0" applyNumberFormat="1" applyFont="1" applyFill="1" applyBorder="1" applyAlignment="1">
      <x:alignment horizontal="left" vertical="center"/>
    </x:xf>
    <x:xf numFmtId="208" fontId="60" fillId="0" borderId="208" xfId="0" applyNumberFormat="1" applyFont="1" applyFill="1" applyBorder="1" applyAlignment="1">
      <x:alignment vertical="center"/>
    </x:xf>
    <x:xf numFmtId="0" fontId="60" fillId="39" borderId="209" xfId="0" applyNumberFormat="1" applyFont="1" applyFill="1" applyBorder="1" applyAlignment="1">
      <x:alignment vertical="center"/>
    </x:xf>
    <x:xf numFmtId="208" fontId="60" fillId="39" borderId="209" xfId="0" applyNumberFormat="1" applyFont="1" applyFill="1" applyBorder="1" applyAlignment="1">
      <x:alignment vertical="center"/>
    </x:xf>
    <x:xf numFmtId="0" fontId="59" fillId="39" borderId="209" xfId="0" applyNumberFormat="1" applyFont="1" applyFill="1" applyBorder="1" applyAlignment="1">
      <x:alignment vertical="center"/>
    </x:xf>
    <x:xf numFmtId="208" fontId="59" fillId="39" borderId="209" xfId="0" applyNumberFormat="1" applyFont="1" applyFill="1" applyBorder="1" applyAlignment="1">
      <x:alignment vertical="center"/>
    </x:xf>
    <x:xf numFmtId="0" fontId="59" fillId="39" borderId="210" xfId="0" applyNumberFormat="1" applyFont="1" applyFill="1" applyBorder="1" applyAlignment="1">
      <x:alignment vertical="center"/>
    </x:xf>
    <x:xf numFmtId="208" fontId="59" fillId="39" borderId="210" xfId="0" applyNumberFormat="1" applyFont="1" applyFill="1" applyBorder="1" applyAlignment="1">
      <x:alignment vertical="center"/>
    </x:xf>
    <x:xf numFmtId="0" fontId="58" fillId="35" borderId="0" xfId="0" applyNumberFormat="1" applyFont="1" applyFill="1" applyBorder="1" applyAlignment="1">
      <x:alignment horizontal="left" vertical="center" wrapText="1"/>
    </x:xf>
    <x:xf numFmtId="0" fontId="60" fillId="0" borderId="208" xfId="0" applyNumberFormat="1" applyFont="1" applyFill="1" applyBorder="1" applyAlignment="1">
      <x:alignment vertical="center" wrapText="1"/>
    </x:xf>
    <x:xf numFmtId="207" fontId="61" fillId="0" borderId="208" xfId="0" applyNumberFormat="1" applyFont="1" applyFill="1" applyBorder="1" applyAlignment="1">
      <x:alignment vertical="center" wrapText="1"/>
    </x:xf>
    <x:xf numFmtId="0" fontId="60" fillId="0" borderId="209" xfId="0" applyNumberFormat="1" applyFont="1" applyFill="1" applyBorder="1" applyAlignment="1">
      <x:alignment vertical="center" wrapText="1"/>
    </x:xf>
    <x:xf numFmtId="207" fontId="61" fillId="0" borderId="209" xfId="0" applyNumberFormat="1" applyFont="1" applyFill="1" applyBorder="1" applyAlignment="1">
      <x:alignment vertical="center" wrapText="1"/>
    </x:xf>
    <x:xf numFmtId="207" fontId="60" fillId="0" borderId="209" xfId="0" applyNumberFormat="1" applyFont="1" applyFill="1" applyBorder="1" applyAlignment="1">
      <x:alignment vertical="center" wrapText="1"/>
    </x:xf>
    <x:xf numFmtId="0" fontId="61" fillId="0" borderId="208" xfId="0" applyNumberFormat="1" applyFont="1" applyFill="1" applyBorder="1" applyAlignment="1">
      <x:alignment vertical="center" wrapText="1"/>
    </x:xf>
    <x:xf numFmtId="0" fontId="61" fillId="0" borderId="209" xfId="0" applyNumberFormat="1" applyFont="1" applyFill="1" applyBorder="1" applyAlignment="1">
      <x:alignment vertical="center" wrapText="1"/>
    </x:xf>
    <x:xf numFmtId="208" fontId="60" fillId="0" borderId="209" xfId="0" applyNumberFormat="1" applyFont="1" applyFill="1" applyBorder="1" applyAlignment="1">
      <x:alignment vertical="center" wrapText="1"/>
    </x:xf>
    <x:xf numFmtId="208" fontId="61" fillId="0" borderId="209" xfId="0" applyNumberFormat="1" applyFont="1" applyFill="1" applyBorder="1" applyAlignment="1">
      <x:alignment vertical="center" wrapText="1"/>
    </x:xf>
    <x:xf numFmtId="0" fontId="59" fillId="37" borderId="210" xfId="0" applyNumberFormat="1" applyFont="1" applyFill="1" applyBorder="1" applyAlignment="1">
      <x:alignment vertical="center" wrapText="1"/>
    </x:xf>
    <x:xf numFmtId="208" fontId="59" fillId="37" borderId="210" xfId="0" applyNumberFormat="1" applyFont="1" applyFill="1" applyBorder="1" applyAlignment="1">
      <x:alignment vertical="center" wrapText="1"/>
    </x:xf>
    <x:xf numFmtId="0" fontId="58" fillId="38" borderId="0" xfId="0" applyNumberFormat="1" applyFont="1" applyFill="1" applyBorder="1" applyAlignment="1">
      <x:alignment horizontal="left" vertical="center" wrapText="1"/>
    </x:xf>
    <x:xf numFmtId="208" fontId="60" fillId="0" borderId="208" xfId="0" applyNumberFormat="1" applyFont="1" applyFill="1" applyBorder="1" applyAlignment="1">
      <x:alignment vertical="center" wrapText="1"/>
    </x:xf>
    <x:xf numFmtId="0" fontId="59" fillId="39" borderId="210" xfId="0" applyNumberFormat="1" applyFont="1" applyFill="1" applyBorder="1" applyAlignment="1">
      <x:alignment vertical="center" wrapText="1"/>
    </x:xf>
    <x:xf numFmtId="208" fontId="59" fillId="39" borderId="210" xfId="0" applyNumberFormat="1" applyFont="1" applyFill="1" applyBorder="1" applyAlignment="1">
      <x:alignment vertical="center" wrapText="1"/>
    </x:xf>
    <x:xf numFmtId="209" fontId="60" fillId="0" borderId="208" xfId="0" applyNumberFormat="1" applyFont="1" applyFill="1" applyBorder="1" applyAlignment="1">
      <x:alignment vertical="center"/>
    </x:xf>
    <x:xf numFmtId="209" fontId="60" fillId="0" borderId="209" xfId="0" applyNumberFormat="1" applyFont="1" applyFill="1" applyBorder="1" applyAlignment="1">
      <x:alignment vertical="center"/>
    </x:xf>
    <x:xf numFmtId="210" fontId="60" fillId="0" borderId="209" xfId="0" applyNumberFormat="1" applyFont="1" applyFill="1" applyBorder="1" applyAlignment="1">
      <x:alignment vertical="center"/>
    </x:xf>
    <x:xf numFmtId="207" fontId="60" fillId="37" borderId="209" xfId="0" applyNumberFormat="1" applyFont="1" applyFill="1" applyBorder="1" applyAlignment="1">
      <x:alignment vertical="center"/>
    </x:xf>
    <x:xf numFmtId="207" fontId="59" fillId="37" borderId="209" xfId="0" applyNumberFormat="1" applyFont="1" applyFill="1" applyBorder="1" applyAlignment="1">
      <x:alignment vertical="center"/>
    </x:xf>
    <x:xf numFmtId="207" fontId="59" fillId="37" borderId="210" xfId="0" applyNumberFormat="1" applyFont="1" applyFill="1" applyBorder="1" applyAlignment="1">
      <x:alignment vertical="center"/>
    </x:xf>
    <x:xf numFmtId="211" fontId="60" fillId="0" borderId="209" xfId="0" applyNumberFormat="1" applyFont="1" applyFill="1" applyBorder="1" applyAlignment="1">
      <x:alignment vertical="center"/>
    </x:xf>
    <x:xf numFmtId="0" fontId="60" fillId="36" borderId="209" xfId="0" applyNumberFormat="1" applyFont="1" applyFill="1" applyBorder="1" applyAlignment="1">
      <x:alignment vertical="center"/>
    </x:xf>
    <x:xf numFmtId="208" fontId="60" fillId="36" borderId="209" xfId="0" applyNumberFormat="1" applyFont="1" applyFill="1" applyBorder="1" applyAlignment="1">
      <x:alignment vertical="center"/>
    </x:xf>
    <x:xf numFmtId="209" fontId="60" fillId="0" borderId="208" xfId="0" applyNumberFormat="1" applyFont="1" applyFill="1" applyBorder="1" applyAlignment="1">
      <x:alignment vertical="center" wrapText="1"/>
    </x:xf>
    <x:xf numFmtId="207" fontId="60" fillId="0" borderId="208" xfId="0" applyNumberFormat="1" applyFont="1" applyFill="1" applyBorder="1" applyAlignment="1">
      <x:alignment vertical="center" wrapText="1"/>
    </x:xf>
    <x:xf numFmtId="209" fontId="60" fillId="0" borderId="209" xfId="0" applyNumberFormat="1" applyFont="1" applyFill="1" applyBorder="1" applyAlignment="1">
      <x:alignment vertical="center" wrapText="1"/>
    </x:xf>
    <x:xf numFmtId="210" fontId="60" fillId="0" borderId="209" xfId="0" applyNumberFormat="1" applyFont="1" applyFill="1" applyBorder="1" applyAlignment="1">
      <x:alignment vertical="center" wrapText="1"/>
    </x:xf>
    <x:xf numFmtId="207" fontId="59" fillId="37" borderId="210" xfId="0" applyNumberFormat="1" applyFont="1" applyFill="1" applyBorder="1" applyAlignment="1">
      <x:alignment vertical="center" wrapText="1"/>
    </x:xf>
    <x:xf numFmtId="0" fontId="60" fillId="36" borderId="209" xfId="0" applyNumberFormat="1" applyFont="1" applyFill="1" applyBorder="1" applyAlignment="1">
      <x:alignment vertical="center" wrapText="1"/>
    </x:xf>
    <x:xf numFmtId="208" fontId="60" fillId="36" borderId="209" xfId="0" applyNumberFormat="1" applyFont="1" applyFill="1" applyBorder="1" applyAlignment="1">
      <x:alignment vertical="center" wrapText="1"/>
    </x:xf>
    <x:xf numFmtId="0" fontId="60" fillId="39" borderId="209" xfId="0" applyNumberFormat="1" applyFont="1" applyFill="1" applyBorder="1" applyAlignment="1">
      <x:alignment vertical="center" wrapText="1"/>
    </x:xf>
    <x:xf numFmtId="208" fontId="60" fillId="39" borderId="209" xfId="0" applyNumberFormat="1" applyFont="1" applyFill="1" applyBorder="1" applyAlignment="1">
      <x:alignment vertical="center" wrapText="1"/>
    </x:xf>
    <x:xf numFmtId="211" fontId="60" fillId="0" borderId="209" xfId="0" applyNumberFormat="1" applyFont="1" applyFill="1" applyBorder="1" applyAlignment="1">
      <x:alignment vertical="center" wrapText="1"/>
    </x:xf>
    <x:xf numFmtId="0" fontId="60" fillId="36" borderId="208" xfId="0" applyNumberFormat="1" applyFont="1" applyFill="1" applyBorder="1" applyAlignment="1">
      <x:alignment vertical="center"/>
    </x:xf>
    <x:xf numFmtId="0" fontId="60" fillId="36" borderId="208" xfId="0" applyNumberFormat="1" applyFont="1" applyFill="1" applyBorder="1" applyAlignment="1">
      <x:alignment vertical="center" wrapText="1"/>
    </x:xf>
    <x:xf numFmtId="0" fontId="60" fillId="37" borderId="208" xfId="0" applyNumberFormat="1" applyFont="1" applyFill="1" applyBorder="1" applyAlignment="1">
      <x:alignment vertical="center"/>
    </x:xf>
    <x:xf numFmtId="208" fontId="60" fillId="37" borderId="208" xfId="0" applyNumberFormat="1" applyFont="1" applyFill="1" applyBorder="1" applyAlignment="1">
      <x:alignment vertical="center"/>
    </x:xf>
    <x:xf numFmtId="0" fontId="60" fillId="40" borderId="209" xfId="0" applyNumberFormat="1" applyFont="1" applyFill="1" applyBorder="1" applyAlignment="1">
      <x:alignment vertical="center"/>
    </x:xf>
    <x:xf numFmtId="208" fontId="60" fillId="40" borderId="209" xfId="0" applyNumberFormat="1" applyFont="1" applyFill="1" applyBorder="1" applyAlignment="1">
      <x:alignment vertical="center"/>
    </x:xf>
    <x:xf numFmtId="0" fontId="60" fillId="37" borderId="208" xfId="0" applyNumberFormat="1" applyFont="1" applyFill="1" applyBorder="1" applyAlignment="1">
      <x:alignment vertical="center" wrapText="1"/>
    </x:xf>
    <x:xf numFmtId="208" fontId="60" fillId="37" borderId="208" xfId="0" applyNumberFormat="1" applyFont="1" applyFill="1" applyBorder="1" applyAlignment="1">
      <x:alignment vertical="center" wrapText="1"/>
    </x:xf>
    <x:xf numFmtId="0" fontId="60" fillId="40" borderId="209" xfId="0" applyNumberFormat="1" applyFont="1" applyFill="1" applyBorder="1" applyAlignment="1">
      <x:alignment vertical="center" wrapText="1"/>
    </x:xf>
    <x:xf numFmtId="208" fontId="60" fillId="40" borderId="209" xfId="0" applyNumberFormat="1" applyFont="1" applyFill="1" applyBorder="1" applyAlignment="1">
      <x:alignment vertical="center" wrapText="1"/>
    </x:xf>
    <x:xf numFmtId="0" fontId="0" fillId="0" borderId="207" xfId="0" applyNumberFormat="1" applyFont="1" applyFill="1" applyBorder="1"/>
    <x:xf numFmtId="207" fontId="59" fillId="36" borderId="207" xfId="0" applyNumberFormat="1" applyFont="1" applyFill="1" applyBorder="1" applyAlignment="1">
      <x:alignment horizontal="center" vertical="center" wrapText="1"/>
    </x:xf>
    <x:xf numFmtId="212" fontId="0" fillId="0" borderId="207" xfId="0" applyNumberFormat="1" applyFont="1" applyFill="1" applyBorder="1"/>
    <x:xf numFmtId="0" fontId="60" fillId="41" borderId="209" xfId="0" applyNumberFormat="1" applyFont="1" applyFill="1" applyBorder="1" applyAlignment="1">
      <x:alignment vertical="center"/>
    </x:xf>
    <x:xf numFmtId="208" fontId="60" fillId="41" borderId="209" xfId="0" applyNumberFormat="1" applyFont="1" applyFill="1" applyBorder="1" applyAlignment="1">
      <x:alignment vertical="center"/>
    </x:xf>
    <x:xf numFmtId="0" fontId="60" fillId="41" borderId="209" xfId="0" applyNumberFormat="1" applyFont="1" applyFill="1" applyBorder="1" applyAlignment="1">
      <x:alignment vertical="center" wrapText="1"/>
    </x:xf>
    <x:xf numFmtId="208" fontId="60" fillId="41" borderId="209" xfId="0" applyNumberFormat="1" applyFont="1" applyFill="1" applyBorder="1" applyAlignment="1">
      <x:alignment vertical="center" wrapText="1"/>
    </x:xf>
    <x:xf numFmtId="212" fontId="0" fillId="0" borderId="207" xfId="0" applyNumberFormat="1" applyFont="1" applyFill="1" applyBorder="1" applyAlignment="1">
      <x:alignment wrapText="1"/>
    </x:xf>
    <x:xf numFmtId="207" fontId="0" fillId="0" borderId="0" xfId="0" applyNumberFormat="1" applyFont="1" applyFill="1" applyBorder="1"/>
    <x:xf numFmtId="207" fontId="0" fillId="34" borderId="0" xfId="0" applyNumberFormat="1" applyFont="1" applyFill="1" applyBorder="1"/>
    <x:xf numFmtId="0" fontId="60" fillId="34" borderId="0" xfId="0" applyNumberFormat="1" applyFont="1" applyFill="1" applyBorder="1"/>
    <x:xf numFmtId="207" fontId="60" fillId="34" borderId="0" xfId="0" applyNumberFormat="1" applyFont="1" applyFill="1" applyBorder="1"/>
    <x:xf numFmtId="0" fontId="60" fillId="34" borderId="211" xfId="0" applyNumberFormat="1" applyFont="1" applyFill="1" applyBorder="1"/>
    <x:xf numFmtId="0" fontId="60" fillId="34" borderId="212" xfId="0" applyNumberFormat="1" applyFont="1" applyFill="1" applyBorder="1"/>
    <x:xf numFmtId="0" fontId="60" fillId="34" borderId="213" xfId="0" applyNumberFormat="1" applyFont="1" applyFill="1" applyBorder="1"/>
    <x:xf numFmtId="0" fontId="60" fillId="34" borderId="214" xfId="0" applyNumberFormat="1" applyFont="1" applyFill="1" applyBorder="1"/>
    <x:xf numFmtId="0" fontId="60" fillId="34" xfId="0" applyNumberFormat="1" applyFont="1" applyFill="1" applyBorder="0"/>
    <x:xf numFmtId="207" fontId="60" fillId="34" xfId="0" applyNumberFormat="1" applyFont="1" applyFill="1" applyBorder="0"/>
    <x:xf numFmtId="0" fontId="60" fillId="34" borderId="215" xfId="0" applyNumberFormat="1" applyFont="1" applyFill="1" applyBorder="1"/>
    <x:xf numFmtId="0" fontId="60" fillId="34" borderId="216" xfId="0" applyNumberFormat="1" applyFont="1" applyFill="1" applyBorder="1"/>
    <x:xf numFmtId="0" fontId="60" fillId="34" borderId="208" xfId="0" applyNumberFormat="1" applyFont="1" applyFill="1" applyBorder="1"/>
    <x:xf numFmtId="0" fontId="60" fillId="34" borderId="217" xfId="0" applyNumberFormat="1" applyFont="1" applyFill="1" applyBorder="1"/>
    <x:xf numFmtId="0" fontId="60" fillId="34" borderId="211" xfId="0" applyNumberFormat="1" applyFont="1" applyFill="1" applyBorder="1" applyAlignment="1">
      <x:alignment wrapText="1"/>
    </x:xf>
    <x:xf numFmtId="0" fontId="60" fillId="34" borderId="212" xfId="0" applyNumberFormat="1" applyFont="1" applyFill="1" applyBorder="1" applyAlignment="1">
      <x:alignment wrapText="1"/>
    </x:xf>
    <x:xf numFmtId="0" fontId="60" fillId="34" borderId="213" xfId="0" applyNumberFormat="1" applyFont="1" applyFill="1" applyBorder="1" applyAlignment="1">
      <x:alignment wrapText="1"/>
    </x:xf>
    <x:xf numFmtId="0" fontId="60" fillId="34" borderId="214" xfId="0" applyNumberFormat="1" applyFont="1" applyFill="1" applyBorder="1" applyAlignment="1">
      <x:alignment wrapText="1"/>
    </x:xf>
    <x:xf numFmtId="0" fontId="60" fillId="34" xfId="0" applyNumberFormat="1" applyFont="1" applyFill="1" applyBorder="0" applyAlignment="1">
      <x:alignment wrapText="1"/>
    </x:xf>
    <x:xf numFmtId="207" fontId="60" fillId="34" xfId="0" applyNumberFormat="1" applyFont="1" applyFill="1" applyBorder="0" applyAlignment="1">
      <x:alignment wrapText="1"/>
    </x:xf>
    <x:xf numFmtId="0" fontId="60" fillId="34" borderId="215" xfId="0" applyNumberFormat="1" applyFont="1" applyFill="1" applyBorder="1" applyAlignment="1">
      <x:alignment wrapText="1"/>
    </x:xf>
    <x:xf numFmtId="0" fontId="60" fillId="34" borderId="216" xfId="0" applyNumberFormat="1" applyFont="1" applyFill="1" applyBorder="1" applyAlignment="1">
      <x:alignment wrapText="1"/>
    </x:xf>
    <x:xf numFmtId="0" fontId="60" fillId="34" borderId="208" xfId="0" applyNumberFormat="1" applyFont="1" applyFill="1" applyBorder="1" applyAlignment="1">
      <x:alignment wrapText="1"/>
    </x:xf>
    <x:xf numFmtId="0" fontId="60" fillId="34" borderId="217" xfId="0" applyNumberFormat="1" applyFont="1" applyFill="1" applyBorder="1" applyAlignment="1">
      <x:alignment wrapText="1"/>
    </x:xf>
    <x:xf numFmtId="0" fontId="59" fillId="34" borderId="211" xfId="0" applyNumberFormat="1" applyFont="1" applyFill="1" applyBorder="1" applyAlignment="1">
      <x:alignment wrapText="1"/>
    </x:xf>
    <x:xf numFmtId="0" fontId="59" fillId="34" borderId="214" xfId="0" applyNumberFormat="1" applyFont="1" applyFill="1" applyBorder="1" applyAlignment="1">
      <x:alignment wrapText="1"/>
    </x:xf>
    <x:xf numFmtId="0" fontId="59" fillId="34" borderId="216" xfId="0" applyNumberFormat="1" applyFont="1" applyFill="1" applyBorder="1" applyAlignment="1">
      <x:alignment wrapText="1"/>
    </x:xf>
    <x:xf numFmtId="0" fontId="59" fillId="34" borderId="212" xfId="0" applyNumberFormat="1" applyFont="1" applyFill="1" applyBorder="1" applyAlignment="1">
      <x:alignment wrapText="1"/>
    </x:xf>
    <x:xf numFmtId="0" fontId="59" fillId="34" xfId="0" applyNumberFormat="1" applyFont="1" applyFill="1" applyBorder="0" applyAlignment="1">
      <x:alignment wrapText="1"/>
    </x:xf>
    <x:xf numFmtId="0" fontId="59" fillId="34" borderId="208" xfId="0" applyNumberFormat="1" applyFont="1" applyFill="1" applyBorder="1" applyAlignment="1">
      <x:alignment wrapText="1"/>
    </x:xf>
    <x:xf numFmtId="0" fontId="62" fillId="33" borderId="0" xfId="0" applyNumberFormat="1" applyFont="1" applyFill="1" applyBorder="1"/>
    <x:xf numFmtId="0" fontId="62" fillId="33" borderId="0" xfId="0" applyNumberFormat="1" applyFont="1" applyFill="1" applyBorder="1" applyAlignment="1">
      <x:alignment horizontal="center"/>
    </x:xf>
    <x:xf numFmtId="0" fontId="62" fillId="33" borderId="0" xfId="0" applyNumberFormat="1" applyFont="1" applyFill="1" applyBorder="1" applyAlignment="1">
      <x:alignment horizontal="center" vertical="center"/>
    </x:xf>
    <x:xf numFmtId="0" fontId="63" fillId="36" borderId="0" xfId="0" applyNumberFormat="1" applyFont="1" applyFill="1" applyBorder="1"/>
    <x:xf numFmtId="0" fontId="63" fillId="36" borderId="211" xfId="0" applyNumberFormat="1" applyFont="1" applyFill="1" applyBorder="1"/>
    <x:xf numFmtId="0" fontId="63" fillId="36" borderId="212" xfId="0" applyNumberFormat="1" applyFont="1" applyFill="1" applyBorder="1"/>
    <x:xf numFmtId="0" fontId="63" fillId="36" borderId="213" xfId="0" applyNumberFormat="1" applyFont="1" applyFill="1" applyBorder="1"/>
    <x:xf numFmtId="0" fontId="63" fillId="36" borderId="214" xfId="0" applyNumberFormat="1" applyFont="1" applyFill="1" applyBorder="1"/>
    <x:xf numFmtId="0" fontId="63" fillId="36" xfId="0" applyNumberFormat="1" applyFont="1" applyFill="1" applyBorder="0"/>
    <x:xf numFmtId="0" fontId="63" fillId="36" borderId="215" xfId="0" applyNumberFormat="1" applyFont="1" applyFill="1" applyBorder="1"/>
    <x:xf numFmtId="0" fontId="63" fillId="36" borderId="216" xfId="0" applyNumberFormat="1" applyFont="1" applyFill="1" applyBorder="1"/>
    <x:xf numFmtId="0" fontId="63" fillId="36" borderId="208" xfId="0" applyNumberFormat="1" applyFont="1" applyFill="1" applyBorder="1"/>
    <x:xf numFmtId="0" fontId="63" fillId="36" borderId="217" xfId="0" applyNumberFormat="1" applyFont="1" applyFill="1" applyBorder="1"/>
    <x:xf numFmtId="208" fontId="63" fillId="36" borderId="211" xfId="0" applyNumberFormat="1" applyFont="1" applyFill="1" applyBorder="1"/>
    <x:xf numFmtId="208" fontId="63" fillId="36" borderId="212" xfId="0" applyNumberFormat="1" applyFont="1" applyFill="1" applyBorder="1"/>
    <x:xf numFmtId="208" fontId="63" fillId="36" borderId="213" xfId="0" applyNumberFormat="1" applyFont="1" applyFill="1" applyBorder="1"/>
    <x:xf numFmtId="208" fontId="63" fillId="36" borderId="214" xfId="0" applyNumberFormat="1" applyFont="1" applyFill="1" applyBorder="1"/>
    <x:xf numFmtId="208" fontId="63" fillId="36" xfId="0" applyNumberFormat="1" applyFont="1" applyFill="1" applyBorder="0"/>
    <x:xf numFmtId="208" fontId="63" fillId="36" borderId="215" xfId="0" applyNumberFormat="1" applyFont="1" applyFill="1" applyBorder="1"/>
    <x:xf numFmtId="208" fontId="63" fillId="36" borderId="216" xfId="0" applyNumberFormat="1" applyFont="1" applyFill="1" applyBorder="1"/>
    <x:xf numFmtId="208" fontId="63" fillId="36" borderId="208" xfId="0" applyNumberFormat="1" applyFont="1" applyFill="1" applyBorder="1"/>
    <x:xf numFmtId="208" fontId="63" fillId="36" borderId="217" xfId="0" applyNumberFormat="1" applyFont="1" applyFill="1" applyBorder="1"/>
    <x:xf numFmtId="208" fontId="63" fillId="36" borderId="211" xfId="0" applyNumberFormat="1" applyFont="1" applyFill="1" applyBorder="1" applyAlignment="1">
      <x:alignment horizontal="center"/>
    </x:xf>
    <x:xf numFmtId="208" fontId="63" fillId="36" borderId="212" xfId="0" applyNumberFormat="1" applyFont="1" applyFill="1" applyBorder="1" applyAlignment="1">
      <x:alignment horizontal="center"/>
    </x:xf>
    <x:xf numFmtId="208" fontId="63" fillId="36" borderId="213" xfId="0" applyNumberFormat="1" applyFont="1" applyFill="1" applyBorder="1" applyAlignment="1">
      <x:alignment horizontal="center"/>
    </x:xf>
    <x:xf numFmtId="208" fontId="63" fillId="36" borderId="214" xfId="0" applyNumberFormat="1" applyFont="1" applyFill="1" applyBorder="1" applyAlignment="1">
      <x:alignment horizontal="center"/>
    </x:xf>
    <x:xf numFmtId="208" fontId="63" fillId="36" xfId="0" applyNumberFormat="1" applyFont="1" applyFill="1" applyBorder="0" applyAlignment="1">
      <x:alignment horizontal="center"/>
    </x:xf>
    <x:xf numFmtId="208" fontId="63" fillId="36" borderId="215" xfId="0" applyNumberFormat="1" applyFont="1" applyFill="1" applyBorder="1" applyAlignment="1">
      <x:alignment horizontal="center"/>
    </x:xf>
    <x:xf numFmtId="208" fontId="63" fillId="36" borderId="216" xfId="0" applyNumberFormat="1" applyFont="1" applyFill="1" applyBorder="1" applyAlignment="1">
      <x:alignment horizontal="center"/>
    </x:xf>
    <x:xf numFmtId="208" fontId="63" fillId="36" borderId="208" xfId="0" applyNumberFormat="1" applyFont="1" applyFill="1" applyBorder="1" applyAlignment="1">
      <x:alignment horizontal="center"/>
    </x:xf>
    <x:xf numFmtId="208" fontId="63" fillId="36" borderId="217" xfId="0" applyNumberFormat="1" applyFont="1" applyFill="1" applyBorder="1" applyAlignment="1">
      <x:alignment horizontal="center"/>
    </x:xf>
    <x:xf numFmtId="208" fontId="63" fillId="36" borderId="211" xfId="0" applyNumberFormat="1" applyFont="1" applyFill="1" applyBorder="1" applyAlignment="1">
      <x:alignment horizontal="center" vertical="center"/>
    </x:xf>
    <x:xf numFmtId="208" fontId="63" fillId="36" borderId="212" xfId="0" applyNumberFormat="1" applyFont="1" applyFill="1" applyBorder="1" applyAlignment="1">
      <x:alignment horizontal="center" vertical="center"/>
    </x:xf>
    <x:xf numFmtId="208" fontId="63" fillId="36" borderId="213" xfId="0" applyNumberFormat="1" applyFont="1" applyFill="1" applyBorder="1" applyAlignment="1">
      <x:alignment horizontal="center" vertical="center"/>
    </x:xf>
    <x:xf numFmtId="208" fontId="63" fillId="36" borderId="214" xfId="0" applyNumberFormat="1" applyFont="1" applyFill="1" applyBorder="1" applyAlignment="1">
      <x:alignment horizontal="center" vertical="center"/>
    </x:xf>
    <x:xf numFmtId="208" fontId="63" fillId="36" xfId="0" applyNumberFormat="1" applyFont="1" applyFill="1" applyBorder="0" applyAlignment="1">
      <x:alignment horizontal="center" vertical="center"/>
    </x:xf>
    <x:xf numFmtId="208" fontId="63" fillId="36" borderId="215" xfId="0" applyNumberFormat="1" applyFont="1" applyFill="1" applyBorder="1" applyAlignment="1">
      <x:alignment horizontal="center" vertical="center"/>
    </x:xf>
    <x:xf numFmtId="208" fontId="63" fillId="36" borderId="216" xfId="0" applyNumberFormat="1" applyFont="1" applyFill="1" applyBorder="1" applyAlignment="1">
      <x:alignment horizontal="center" vertical="center"/>
    </x:xf>
    <x:xf numFmtId="208" fontId="63" fillId="36" borderId="208" xfId="0" applyNumberFormat="1" applyFont="1" applyFill="1" applyBorder="1" applyAlignment="1">
      <x:alignment horizontal="center" vertical="center"/>
    </x:xf>
    <x:xf numFmtId="208" fontId="63" fillId="36" borderId="217" xfId="0" applyNumberFormat="1" applyFont="1" applyFill="1" applyBorder="1" applyAlignment="1">
      <x:alignment horizontal="center" vertical="center"/>
    </x:xf>
    <x:xf numFmtId="0" fontId="0" fillId="37" borderId="0" xfId="0" applyNumberFormat="1" applyFont="1" applyFill="1" applyBorder="1"/>
    <x:xf numFmtId="0" fontId="63" fillId="37" borderId="0" xfId="0" applyNumberFormat="1" applyFont="1" applyFill="1" applyBorder="1"/>
    <x:xf numFmtId="0" fontId="63" fillId="37" borderId="211" xfId="0" applyNumberFormat="1" applyFont="1" applyFill="1" applyBorder="1"/>
    <x:xf numFmtId="0" fontId="63" fillId="37" borderId="212" xfId="0" applyNumberFormat="1" applyFont="1" applyFill="1" applyBorder="1"/>
    <x:xf numFmtId="0" fontId="63" fillId="37" borderId="213" xfId="0" applyNumberFormat="1" applyFont="1" applyFill="1" applyBorder="1"/>
    <x:xf numFmtId="0" fontId="63" fillId="37" borderId="214" xfId="0" applyNumberFormat="1" applyFont="1" applyFill="1" applyBorder="1"/>
    <x:xf numFmtId="0" fontId="63" fillId="37" xfId="0" applyNumberFormat="1" applyFont="1" applyFill="1" applyBorder="0"/>
    <x:xf numFmtId="0" fontId="63" fillId="37" borderId="215" xfId="0" applyNumberFormat="1" applyFont="1" applyFill="1" applyBorder="1"/>
    <x:xf numFmtId="0" fontId="63" fillId="37" borderId="216" xfId="0" applyNumberFormat="1" applyFont="1" applyFill="1" applyBorder="1"/>
    <x:xf numFmtId="0" fontId="63" fillId="37" borderId="208" xfId="0" applyNumberFormat="1" applyFont="1" applyFill="1" applyBorder="1"/>
    <x:xf numFmtId="0" fontId="63" fillId="37" borderId="217" xfId="0" applyNumberFormat="1" applyFont="1" applyFill="1" applyBorder="1"/>
    <x:xf numFmtId="208" fontId="63" fillId="37" borderId="211" xfId="0" applyNumberFormat="1" applyFont="1" applyFill="1" applyBorder="1"/>
    <x:xf numFmtId="208" fontId="63" fillId="37" borderId="212" xfId="0" applyNumberFormat="1" applyFont="1" applyFill="1" applyBorder="1"/>
    <x:xf numFmtId="208" fontId="63" fillId="37" borderId="213" xfId="0" applyNumberFormat="1" applyFont="1" applyFill="1" applyBorder="1"/>
    <x:xf numFmtId="208" fontId="63" fillId="37" borderId="214" xfId="0" applyNumberFormat="1" applyFont="1" applyFill="1" applyBorder="1"/>
    <x:xf numFmtId="208" fontId="63" fillId="37" xfId="0" applyNumberFormat="1" applyFont="1" applyFill="1" applyBorder="0"/>
    <x:xf numFmtId="208" fontId="63" fillId="37" borderId="215" xfId="0" applyNumberFormat="1" applyFont="1" applyFill="1" applyBorder="1"/>
    <x:xf numFmtId="208" fontId="63" fillId="37" borderId="216" xfId="0" applyNumberFormat="1" applyFont="1" applyFill="1" applyBorder="1"/>
    <x:xf numFmtId="208" fontId="63" fillId="37" borderId="208" xfId="0" applyNumberFormat="1" applyFont="1" applyFill="1" applyBorder="1"/>
    <x:xf numFmtId="208" fontId="63" fillId="37" borderId="217" xfId="0" applyNumberFormat="1" applyFont="1" applyFill="1" applyBorder="1"/>
    <x:xf numFmtId="208" fontId="63" fillId="37" borderId="211" xfId="0" applyNumberFormat="1" applyFont="1" applyFill="1" applyBorder="1" applyAlignment="1">
      <x:alignment horizontal="center"/>
    </x:xf>
    <x:xf numFmtId="208" fontId="63" fillId="37" borderId="212" xfId="0" applyNumberFormat="1" applyFont="1" applyFill="1" applyBorder="1" applyAlignment="1">
      <x:alignment horizontal="center"/>
    </x:xf>
    <x:xf numFmtId="208" fontId="63" fillId="37" borderId="213" xfId="0" applyNumberFormat="1" applyFont="1" applyFill="1" applyBorder="1" applyAlignment="1">
      <x:alignment horizontal="center"/>
    </x:xf>
    <x:xf numFmtId="208" fontId="63" fillId="37" borderId="214" xfId="0" applyNumberFormat="1" applyFont="1" applyFill="1" applyBorder="1" applyAlignment="1">
      <x:alignment horizontal="center"/>
    </x:xf>
    <x:xf numFmtId="208" fontId="63" fillId="37" xfId="0" applyNumberFormat="1" applyFont="1" applyFill="1" applyBorder="0" applyAlignment="1">
      <x:alignment horizontal="center"/>
    </x:xf>
    <x:xf numFmtId="208" fontId="63" fillId="37" borderId="215" xfId="0" applyNumberFormat="1" applyFont="1" applyFill="1" applyBorder="1" applyAlignment="1">
      <x:alignment horizontal="center"/>
    </x:xf>
    <x:xf numFmtId="208" fontId="63" fillId="37" borderId="216" xfId="0" applyNumberFormat="1" applyFont="1" applyFill="1" applyBorder="1" applyAlignment="1">
      <x:alignment horizontal="center"/>
    </x:xf>
    <x:xf numFmtId="208" fontId="63" fillId="37" borderId="208" xfId="0" applyNumberFormat="1" applyFont="1" applyFill="1" applyBorder="1" applyAlignment="1">
      <x:alignment horizontal="center"/>
    </x:xf>
    <x:xf numFmtId="208" fontId="63" fillId="37" borderId="217" xfId="0" applyNumberFormat="1" applyFont="1" applyFill="1" applyBorder="1" applyAlignment="1">
      <x:alignment horizontal="center"/>
    </x:xf>
    <x:xf numFmtId="208" fontId="63" fillId="37" borderId="211" xfId="0" applyNumberFormat="1" applyFont="1" applyFill="1" applyBorder="1" applyAlignment="1">
      <x:alignment horizontal="center" vertical="center"/>
    </x:xf>
    <x:xf numFmtId="208" fontId="63" fillId="37" borderId="212" xfId="0" applyNumberFormat="1" applyFont="1" applyFill="1" applyBorder="1" applyAlignment="1">
      <x:alignment horizontal="center" vertical="center"/>
    </x:xf>
    <x:xf numFmtId="208" fontId="63" fillId="37" borderId="213" xfId="0" applyNumberFormat="1" applyFont="1" applyFill="1" applyBorder="1" applyAlignment="1">
      <x:alignment horizontal="center" vertical="center"/>
    </x:xf>
    <x:xf numFmtId="208" fontId="63" fillId="37" borderId="214" xfId="0" applyNumberFormat="1" applyFont="1" applyFill="1" applyBorder="1" applyAlignment="1">
      <x:alignment horizontal="center" vertical="center"/>
    </x:xf>
    <x:xf numFmtId="208" fontId="63" fillId="37" xfId="0" applyNumberFormat="1" applyFont="1" applyFill="1" applyBorder="0" applyAlignment="1">
      <x:alignment horizontal="center" vertical="center"/>
    </x:xf>
    <x:xf numFmtId="208" fontId="63" fillId="37" borderId="215" xfId="0" applyNumberFormat="1" applyFont="1" applyFill="1" applyBorder="1" applyAlignment="1">
      <x:alignment horizontal="center" vertical="center"/>
    </x:xf>
    <x:xf numFmtId="208" fontId="63" fillId="37" borderId="216" xfId="0" applyNumberFormat="1" applyFont="1" applyFill="1" applyBorder="1" applyAlignment="1">
      <x:alignment horizontal="center" vertical="center"/>
    </x:xf>
    <x:xf numFmtId="208" fontId="63" fillId="37" borderId="208" xfId="0" applyNumberFormat="1" applyFont="1" applyFill="1" applyBorder="1" applyAlignment="1">
      <x:alignment horizontal="center" vertical="center"/>
    </x:xf>
    <x:xf numFmtId="208" fontId="63" fillId="37" borderId="217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63" fillId="39" borderId="0" xfId="0" applyNumberFormat="1" applyFont="1" applyFill="1" applyBorder="1"/>
    <x:xf numFmtId="0" fontId="63" fillId="39" borderId="211" xfId="0" applyNumberFormat="1" applyFont="1" applyFill="1" applyBorder="1"/>
    <x:xf numFmtId="0" fontId="63" fillId="39" borderId="212" xfId="0" applyNumberFormat="1" applyFont="1" applyFill="1" applyBorder="1"/>
    <x:xf numFmtId="0" fontId="63" fillId="39" borderId="213" xfId="0" applyNumberFormat="1" applyFont="1" applyFill="1" applyBorder="1"/>
    <x:xf numFmtId="0" fontId="63" fillId="39" borderId="214" xfId="0" applyNumberFormat="1" applyFont="1" applyFill="1" applyBorder="1"/>
    <x:xf numFmtId="0" fontId="63" fillId="39" xfId="0" applyNumberFormat="1" applyFont="1" applyFill="1" applyBorder="0"/>
    <x:xf numFmtId="0" fontId="63" fillId="39" borderId="215" xfId="0" applyNumberFormat="1" applyFont="1" applyFill="1" applyBorder="1"/>
    <x:xf numFmtId="0" fontId="63" fillId="39" borderId="216" xfId="0" applyNumberFormat="1" applyFont="1" applyFill="1" applyBorder="1"/>
    <x:xf numFmtId="0" fontId="63" fillId="39" borderId="208" xfId="0" applyNumberFormat="1" applyFont="1" applyFill="1" applyBorder="1"/>
    <x:xf numFmtId="0" fontId="63" fillId="39" borderId="217" xfId="0" applyNumberFormat="1" applyFont="1" applyFill="1" applyBorder="1"/>
    <x:xf numFmtId="208" fontId="63" fillId="39" borderId="211" xfId="0" applyNumberFormat="1" applyFont="1" applyFill="1" applyBorder="1"/>
    <x:xf numFmtId="208" fontId="63" fillId="39" borderId="212" xfId="0" applyNumberFormat="1" applyFont="1" applyFill="1" applyBorder="1"/>
    <x:xf numFmtId="208" fontId="63" fillId="39" borderId="213" xfId="0" applyNumberFormat="1" applyFont="1" applyFill="1" applyBorder="1"/>
    <x:xf numFmtId="208" fontId="63" fillId="39" borderId="214" xfId="0" applyNumberFormat="1" applyFont="1" applyFill="1" applyBorder="1"/>
    <x:xf numFmtId="208" fontId="63" fillId="39" xfId="0" applyNumberFormat="1" applyFont="1" applyFill="1" applyBorder="0"/>
    <x:xf numFmtId="208" fontId="63" fillId="39" borderId="215" xfId="0" applyNumberFormat="1" applyFont="1" applyFill="1" applyBorder="1"/>
    <x:xf numFmtId="208" fontId="63" fillId="39" borderId="216" xfId="0" applyNumberFormat="1" applyFont="1" applyFill="1" applyBorder="1"/>
    <x:xf numFmtId="208" fontId="63" fillId="39" borderId="208" xfId="0" applyNumberFormat="1" applyFont="1" applyFill="1" applyBorder="1"/>
    <x:xf numFmtId="208" fontId="63" fillId="39" borderId="217" xfId="0" applyNumberFormat="1" applyFont="1" applyFill="1" applyBorder="1"/>
    <x:xf numFmtId="208" fontId="63" fillId="39" borderId="211" xfId="0" applyNumberFormat="1" applyFont="1" applyFill="1" applyBorder="1" applyAlignment="1">
      <x:alignment horizontal="center"/>
    </x:xf>
    <x:xf numFmtId="208" fontId="63" fillId="39" borderId="212" xfId="0" applyNumberFormat="1" applyFont="1" applyFill="1" applyBorder="1" applyAlignment="1">
      <x:alignment horizontal="center"/>
    </x:xf>
    <x:xf numFmtId="208" fontId="63" fillId="39" borderId="213" xfId="0" applyNumberFormat="1" applyFont="1" applyFill="1" applyBorder="1" applyAlignment="1">
      <x:alignment horizontal="center"/>
    </x:xf>
    <x:xf numFmtId="208" fontId="63" fillId="39" borderId="214" xfId="0" applyNumberFormat="1" applyFont="1" applyFill="1" applyBorder="1" applyAlignment="1">
      <x:alignment horizontal="center"/>
    </x:xf>
    <x:xf numFmtId="208" fontId="63" fillId="39" xfId="0" applyNumberFormat="1" applyFont="1" applyFill="1" applyBorder="0" applyAlignment="1">
      <x:alignment horizontal="center"/>
    </x:xf>
    <x:xf numFmtId="208" fontId="63" fillId="39" borderId="215" xfId="0" applyNumberFormat="1" applyFont="1" applyFill="1" applyBorder="1" applyAlignment="1">
      <x:alignment horizontal="center"/>
    </x:xf>
    <x:xf numFmtId="208" fontId="63" fillId="39" borderId="216" xfId="0" applyNumberFormat="1" applyFont="1" applyFill="1" applyBorder="1" applyAlignment="1">
      <x:alignment horizontal="center"/>
    </x:xf>
    <x:xf numFmtId="208" fontId="63" fillId="39" borderId="208" xfId="0" applyNumberFormat="1" applyFont="1" applyFill="1" applyBorder="1" applyAlignment="1">
      <x:alignment horizontal="center"/>
    </x:xf>
    <x:xf numFmtId="208" fontId="63" fillId="39" borderId="217" xfId="0" applyNumberFormat="1" applyFont="1" applyFill="1" applyBorder="1" applyAlignment="1">
      <x:alignment horizontal="center"/>
    </x:xf>
    <x:xf numFmtId="208" fontId="63" fillId="39" borderId="211" xfId="0" applyNumberFormat="1" applyFont="1" applyFill="1" applyBorder="1" applyAlignment="1">
      <x:alignment horizontal="center" vertical="center"/>
    </x:xf>
    <x:xf numFmtId="208" fontId="63" fillId="39" borderId="212" xfId="0" applyNumberFormat="1" applyFont="1" applyFill="1" applyBorder="1" applyAlignment="1">
      <x:alignment horizontal="center" vertical="center"/>
    </x:xf>
    <x:xf numFmtId="208" fontId="63" fillId="39" borderId="213" xfId="0" applyNumberFormat="1" applyFont="1" applyFill="1" applyBorder="1" applyAlignment="1">
      <x:alignment horizontal="center" vertical="center"/>
    </x:xf>
    <x:xf numFmtId="208" fontId="63" fillId="39" borderId="214" xfId="0" applyNumberFormat="1" applyFont="1" applyFill="1" applyBorder="1" applyAlignment="1">
      <x:alignment horizontal="center" vertical="center"/>
    </x:xf>
    <x:xf numFmtId="208" fontId="63" fillId="39" xfId="0" applyNumberFormat="1" applyFont="1" applyFill="1" applyBorder="0" applyAlignment="1">
      <x:alignment horizontal="center" vertical="center"/>
    </x:xf>
    <x:xf numFmtId="208" fontId="63" fillId="39" borderId="215" xfId="0" applyNumberFormat="1" applyFont="1" applyFill="1" applyBorder="1" applyAlignment="1">
      <x:alignment horizontal="center" vertical="center"/>
    </x:xf>
    <x:xf numFmtId="208" fontId="63" fillId="39" borderId="216" xfId="0" applyNumberFormat="1" applyFont="1" applyFill="1" applyBorder="1" applyAlignment="1">
      <x:alignment horizontal="center" vertical="center"/>
    </x:xf>
    <x:xf numFmtId="208" fontId="63" fillId="39" borderId="208" xfId="0" applyNumberFormat="1" applyFont="1" applyFill="1" applyBorder="1" applyAlignment="1">
      <x:alignment horizontal="center" vertical="center"/>
    </x:xf>
    <x:xf numFmtId="208" fontId="63" fillId="39" borderId="217" xfId="0" applyNumberFormat="1" applyFont="1" applyFill="1" applyBorder="1" applyAlignment="1">
      <x:alignment horizontal="center" vertical="center"/>
    </x:xf>
    <x:xf numFmtId="213" fontId="60" fillId="0" borderId="209" xfId="0" applyNumberFormat="1" applyFont="1" applyFill="1" applyBorder="1" applyAlignment="1">
      <x:alignment vertical="center"/>
    </x:xf>
    <x:xf numFmtId="213" fontId="60" fillId="41" borderId="209" xfId="0" applyNumberFormat="1" applyFont="1" applyFill="1" applyBorder="1" applyAlignment="1">
      <x:alignment vertical="center"/>
    </x:xf>
    <x:xf numFmtId="213" fontId="60" fillId="40" borderId="209" xfId="0" applyNumberFormat="1" applyFont="1" applyFill="1" applyBorder="1" applyAlignment="1">
      <x:alignment vertical="center"/>
    </x:xf>
    <x:xf numFmtId="213" fontId="60" fillId="39" borderId="209" xfId="0" applyNumberFormat="1" applyFont="1" applyFill="1" applyBorder="1" applyAlignment="1">
      <x:alignment vertical="center"/>
    </x:xf>
    <x:xf numFmtId="0" fontId="0" fillId="40" borderId="0" xfId="0" applyNumberFormat="1" applyFont="1" applyFill="1" applyBorder="1"/>
    <x:xf numFmtId="0" fontId="64" fillId="40" borderId="0" xfId="0" applyNumberFormat="1" applyFont="1" applyFill="1" applyBorder="1"/>
    <x:xf numFmtId="0" fontId="64" fillId="40" borderId="218" xfId="0" applyNumberFormat="1" applyFont="1" applyFill="1" applyBorder="1"/>
    <x:xf numFmtId="0" fontId="64" fillId="40" borderId="219" xfId="0" applyNumberFormat="1" applyFont="1" applyFill="1" applyBorder="1"/>
    <x:xf numFmtId="0" fontId="64" fillId="40" borderId="220" xfId="0" applyNumberFormat="1" applyFont="1" applyFill="1" applyBorder="1"/>
    <x:xf numFmtId="0" fontId="64" fillId="40" borderId="221" xfId="0" applyNumberFormat="1" applyFont="1" applyFill="1" applyBorder="1"/>
    <x:xf numFmtId="0" fontId="64" fillId="40" xfId="0" applyNumberFormat="1" applyFont="1" applyFill="1" applyBorder="0"/>
    <x:xf numFmtId="0" fontId="64" fillId="40" borderId="222" xfId="0" applyNumberFormat="1" applyFont="1" applyFill="1" applyBorder="1"/>
    <x:xf numFmtId="0" fontId="64" fillId="40" borderId="223" xfId="0" applyNumberFormat="1" applyFont="1" applyFill="1" applyBorder="1"/>
    <x:xf numFmtId="0" fontId="64" fillId="40" borderId="224" xfId="0" applyNumberFormat="1" applyFont="1" applyFill="1" applyBorder="1"/>
    <x:xf numFmtId="0" fontId="64" fillId="40" borderId="225" xfId="0" applyNumberFormat="1" applyFont="1" applyFill="1" applyBorder="1"/>
    <x:xf numFmtId="0" fontId="64" fillId="40" borderId="218" xfId="0" applyNumberFormat="1" applyFont="1" applyFill="1" applyBorder="1" applyAlignment="1">
      <x:alignment wrapText="1"/>
    </x:xf>
    <x:xf numFmtId="0" fontId="64" fillId="40" borderId="219" xfId="0" applyNumberFormat="1" applyFont="1" applyFill="1" applyBorder="1" applyAlignment="1">
      <x:alignment wrapText="1"/>
    </x:xf>
    <x:xf numFmtId="0" fontId="64" fillId="40" borderId="220" xfId="0" applyNumberFormat="1" applyFont="1" applyFill="1" applyBorder="1" applyAlignment="1">
      <x:alignment wrapText="1"/>
    </x:xf>
    <x:xf numFmtId="0" fontId="64" fillId="40" borderId="221" xfId="0" applyNumberFormat="1" applyFont="1" applyFill="1" applyBorder="1" applyAlignment="1">
      <x:alignment wrapText="1"/>
    </x:xf>
    <x:xf numFmtId="0" fontId="64" fillId="40" xfId="0" applyNumberFormat="1" applyFont="1" applyFill="1" applyBorder="0" applyAlignment="1">
      <x:alignment wrapText="1"/>
    </x:xf>
    <x:xf numFmtId="0" fontId="64" fillId="40" borderId="222" xfId="0" applyNumberFormat="1" applyFont="1" applyFill="1" applyBorder="1" applyAlignment="1">
      <x:alignment wrapText="1"/>
    </x:xf>
    <x:xf numFmtId="0" fontId="64" fillId="40" borderId="223" xfId="0" applyNumberFormat="1" applyFont="1" applyFill="1" applyBorder="1" applyAlignment="1">
      <x:alignment wrapText="1"/>
    </x:xf>
    <x:xf numFmtId="0" fontId="64" fillId="40" borderId="224" xfId="0" applyNumberFormat="1" applyFont="1" applyFill="1" applyBorder="1" applyAlignment="1">
      <x:alignment wrapText="1"/>
    </x:xf>
    <x:xf numFmtId="0" fontId="64" fillId="40" borderId="225" xfId="0" applyNumberFormat="1" applyFont="1" applyFill="1" applyBorder="1" applyAlignment="1">
      <x:alignment wrapText="1"/>
    </x:xf>
    <x:xf numFmtId="0" fontId="64" fillId="40" borderId="218" xfId="0" applyNumberFormat="1" applyFont="1" applyFill="1" applyBorder="1" applyAlignment="1">
      <x:alignment vertical="center" wrapText="1"/>
    </x:xf>
    <x:xf numFmtId="0" fontId="64" fillId="40" borderId="219" xfId="0" applyNumberFormat="1" applyFont="1" applyFill="1" applyBorder="1" applyAlignment="1">
      <x:alignment vertical="center" wrapText="1"/>
    </x:xf>
    <x:xf numFmtId="0" fontId="64" fillId="40" borderId="220" xfId="0" applyNumberFormat="1" applyFont="1" applyFill="1" applyBorder="1" applyAlignment="1">
      <x:alignment vertical="center" wrapText="1"/>
    </x:xf>
    <x:xf numFmtId="0" fontId="64" fillId="40" borderId="221" xfId="0" applyNumberFormat="1" applyFont="1" applyFill="1" applyBorder="1" applyAlignment="1">
      <x:alignment vertical="center" wrapText="1"/>
    </x:xf>
    <x:xf numFmtId="0" fontId="64" fillId="40" xfId="0" applyNumberFormat="1" applyFont="1" applyFill="1" applyBorder="0" applyAlignment="1">
      <x:alignment vertical="center" wrapText="1"/>
    </x:xf>
    <x:xf numFmtId="0" fontId="64" fillId="40" borderId="222" xfId="0" applyNumberFormat="1" applyFont="1" applyFill="1" applyBorder="1" applyAlignment="1">
      <x:alignment vertical="center" wrapText="1"/>
    </x:xf>
    <x:xf numFmtId="0" fontId="64" fillId="40" borderId="223" xfId="0" applyNumberFormat="1" applyFont="1" applyFill="1" applyBorder="1" applyAlignment="1">
      <x:alignment vertical="center" wrapText="1"/>
    </x:xf>
    <x:xf numFmtId="0" fontId="64" fillId="40" borderId="224" xfId="0" applyNumberFormat="1" applyFont="1" applyFill="1" applyBorder="1" applyAlignment="1">
      <x:alignment vertical="center" wrapText="1"/>
    </x:xf>
    <x:xf numFmtId="0" fontId="64" fillId="40" borderId="225" xfId="0" applyNumberFormat="1" applyFont="1" applyFill="1" applyBorder="1" applyAlignment="1">
      <x:alignment vertical="center" wrapText="1"/>
    </x:xf>
    <x:xf numFmtId="0" fontId="62" fillId="33" borderId="0" xfId="0" applyNumberFormat="1" applyFont="1" applyFill="1" applyBorder="1" applyAlignment="1">
      <x:alignment horizontal="center" vertical="center" wrapText="1"/>
    </x:xf>
    <x:xf numFmtId="208" fontId="63" fillId="36" borderId="211" xfId="0" applyNumberFormat="1" applyFont="1" applyFill="1" applyBorder="1" applyAlignment="1">
      <x:alignment horizontal="center" vertical="center" wrapText="1"/>
    </x:xf>
    <x:xf numFmtId="208" fontId="63" fillId="36" borderId="212" xfId="0" applyNumberFormat="1" applyFont="1" applyFill="1" applyBorder="1" applyAlignment="1">
      <x:alignment horizontal="center" vertical="center" wrapText="1"/>
    </x:xf>
    <x:xf numFmtId="208" fontId="63" fillId="36" borderId="213" xfId="0" applyNumberFormat="1" applyFont="1" applyFill="1" applyBorder="1" applyAlignment="1">
      <x:alignment horizontal="center" vertical="center" wrapText="1"/>
    </x:xf>
    <x:xf numFmtId="208" fontId="63" fillId="37" borderId="211" xfId="0" applyNumberFormat="1" applyFont="1" applyFill="1" applyBorder="1" applyAlignment="1">
      <x:alignment horizontal="center" vertical="center" wrapText="1"/>
    </x:xf>
    <x:xf numFmtId="208" fontId="63" fillId="37" borderId="212" xfId="0" applyNumberFormat="1" applyFont="1" applyFill="1" applyBorder="1" applyAlignment="1">
      <x:alignment horizontal="center" vertical="center" wrapText="1"/>
    </x:xf>
    <x:xf numFmtId="208" fontId="63" fillId="37" borderId="213" xfId="0" applyNumberFormat="1" applyFont="1" applyFill="1" applyBorder="1" applyAlignment="1">
      <x:alignment horizontal="center" vertical="center" wrapText="1"/>
    </x:xf>
    <x:xf numFmtId="208" fontId="63" fillId="39" borderId="211" xfId="0" applyNumberFormat="1" applyFont="1" applyFill="1" applyBorder="1" applyAlignment="1">
      <x:alignment horizontal="center" vertical="center" wrapText="1"/>
    </x:xf>
    <x:xf numFmtId="208" fontId="63" fillId="39" borderId="212" xfId="0" applyNumberFormat="1" applyFont="1" applyFill="1" applyBorder="1" applyAlignment="1">
      <x:alignment horizontal="center" vertical="center" wrapText="1"/>
    </x:xf>
    <x:xf numFmtId="208" fontId="63" fillId="39" borderId="213" xfId="0" applyNumberFormat="1" applyFont="1" applyFill="1" applyBorder="1" applyAlignment="1">
      <x:alignment horizontal="center" vertical="center" wrapText="1"/>
    </x:xf>
    <x:xf numFmtId="208" fontId="63" fillId="36" borderId="214" xfId="0" applyNumberFormat="1" applyFont="1" applyFill="1" applyBorder="1" applyAlignment="1">
      <x:alignment horizontal="center" vertical="center" wrapText="1"/>
    </x:xf>
    <x:xf numFmtId="208" fontId="63" fillId="36" xfId="0" applyNumberFormat="1" applyFont="1" applyFill="1" applyBorder="0" applyAlignment="1">
      <x:alignment horizontal="center" vertical="center" wrapText="1"/>
    </x:xf>
    <x:xf numFmtId="208" fontId="63" fillId="36" borderId="215" xfId="0" applyNumberFormat="1" applyFont="1" applyFill="1" applyBorder="1" applyAlignment="1">
      <x:alignment horizontal="center" vertical="center" wrapText="1"/>
    </x:xf>
    <x:xf numFmtId="208" fontId="63" fillId="37" borderId="214" xfId="0" applyNumberFormat="1" applyFont="1" applyFill="1" applyBorder="1" applyAlignment="1">
      <x:alignment horizontal="center" vertical="center" wrapText="1"/>
    </x:xf>
    <x:xf numFmtId="208" fontId="63" fillId="37" xfId="0" applyNumberFormat="1" applyFont="1" applyFill="1" applyBorder="0" applyAlignment="1">
      <x:alignment horizontal="center" vertical="center" wrapText="1"/>
    </x:xf>
    <x:xf numFmtId="208" fontId="63" fillId="37" borderId="215" xfId="0" applyNumberFormat="1" applyFont="1" applyFill="1" applyBorder="1" applyAlignment="1">
      <x:alignment horizontal="center" vertical="center" wrapText="1"/>
    </x:xf>
    <x:xf numFmtId="208" fontId="63" fillId="39" borderId="214" xfId="0" applyNumberFormat="1" applyFont="1" applyFill="1" applyBorder="1" applyAlignment="1">
      <x:alignment horizontal="center" vertical="center" wrapText="1"/>
    </x:xf>
    <x:xf numFmtId="208" fontId="63" fillId="39" xfId="0" applyNumberFormat="1" applyFont="1" applyFill="1" applyBorder="0" applyAlignment="1">
      <x:alignment horizontal="center" vertical="center" wrapText="1"/>
    </x:xf>
    <x:xf numFmtId="208" fontId="63" fillId="39" borderId="215" xfId="0" applyNumberFormat="1" applyFont="1" applyFill="1" applyBorder="1" applyAlignment="1">
      <x:alignment horizontal="center" vertical="center" wrapText="1"/>
    </x:xf>
    <x:xf numFmtId="208" fontId="63" fillId="36" borderId="216" xfId="0" applyNumberFormat="1" applyFont="1" applyFill="1" applyBorder="1" applyAlignment="1">
      <x:alignment horizontal="center" vertical="center" wrapText="1"/>
    </x:xf>
    <x:xf numFmtId="208" fontId="63" fillId="36" borderId="208" xfId="0" applyNumberFormat="1" applyFont="1" applyFill="1" applyBorder="1" applyAlignment="1">
      <x:alignment horizontal="center" vertical="center" wrapText="1"/>
    </x:xf>
    <x:xf numFmtId="208" fontId="63" fillId="36" borderId="217" xfId="0" applyNumberFormat="1" applyFont="1" applyFill="1" applyBorder="1" applyAlignment="1">
      <x:alignment horizontal="center" vertical="center" wrapText="1"/>
    </x:xf>
    <x:xf numFmtId="208" fontId="63" fillId="37" borderId="216" xfId="0" applyNumberFormat="1" applyFont="1" applyFill="1" applyBorder="1" applyAlignment="1">
      <x:alignment horizontal="center" vertical="center" wrapText="1"/>
    </x:xf>
    <x:xf numFmtId="208" fontId="63" fillId="37" borderId="208" xfId="0" applyNumberFormat="1" applyFont="1" applyFill="1" applyBorder="1" applyAlignment="1">
      <x:alignment horizontal="center" vertical="center" wrapText="1"/>
    </x:xf>
    <x:xf numFmtId="208" fontId="63" fillId="37" borderId="217" xfId="0" applyNumberFormat="1" applyFont="1" applyFill="1" applyBorder="1" applyAlignment="1">
      <x:alignment horizontal="center" vertical="center" wrapText="1"/>
    </x:xf>
    <x:xf numFmtId="208" fontId="63" fillId="39" borderId="216" xfId="0" applyNumberFormat="1" applyFont="1" applyFill="1" applyBorder="1" applyAlignment="1">
      <x:alignment horizontal="center" vertical="center" wrapText="1"/>
    </x:xf>
    <x:xf numFmtId="208" fontId="63" fillId="39" borderId="208" xfId="0" applyNumberFormat="1" applyFont="1" applyFill="1" applyBorder="1" applyAlignment="1">
      <x:alignment horizontal="center" vertical="center" wrapText="1"/>
    </x:xf>
    <x:xf numFmtId="208" fontId="63" fillId="39" borderId="217" xfId="0" applyNumberFormat="1" applyFont="1" applyFill="1" applyBorder="1" applyAlignment="1">
      <x:alignment horizontal="center" vertical="center" wrapText="1"/>
    </x:xf>
    <x:xf numFmtId="213" fontId="60" fillId="41" borderId="209" xfId="0" applyNumberFormat="1" applyFont="1" applyFill="1" applyBorder="1" applyAlignment="1">
      <x:alignment vertical="center" wrapText="1"/>
    </x:xf>
    <x:xf numFmtId="213" fontId="60" fillId="40" borderId="209" xfId="0" applyNumberFormat="1" applyFont="1" applyFill="1" applyBorder="1" applyAlignment="1">
      <x:alignment vertical="center" wrapText="1"/>
    </x:xf>
    <x:xf numFmtId="213" fontId="60" fillId="39" borderId="209" xfId="0" applyNumberFormat="1" applyFont="1" applyFill="1" applyBorder="1" applyAlignment="1">
      <x:alignment vertical="center" wrapText="1"/>
    </x:xf>
    <x:xf numFmtId="0" fontId="65" fillId="33" borderId="0" xfId="0" applyNumberFormat="1" applyFont="1" applyFill="1" applyBorder="1"/>
    <x:xf numFmtId="0" fontId="65" fillId="33" borderId="0" xfId="0" applyNumberFormat="1" applyFont="1" applyFill="1" applyBorder="1" applyAlignment="1">
      <x:alignment horizontal="center"/>
    </x:xf>
    <x:xf numFmtId="0" fontId="65" fillId="33" borderId="0" xfId="0" applyNumberFormat="1" applyFont="1" applyFill="1" applyBorder="1" applyAlignment="1">
      <x:alignment horizontal="center" vertical="center"/>
    </x:xf>
    <x:xf numFmtId="0" fontId="65" fillId="33" borderId="0" xfId="0" applyNumberFormat="1" applyFont="1" applyFill="1" applyBorder="1" applyAlignment="1">
      <x:alignment horizontal="center" vertical="center" wrapText="1"/>
    </x:xf>
    <x:xf numFmtId="0" fontId="0" fillId="41" borderId="0" xfId="0" applyNumberFormat="1" applyFont="1" applyFill="1" applyBorder="1"/>
    <x:xf numFmtId="0" fontId="66" fillId="41" borderId="0" xfId="0" applyNumberFormat="1" applyFont="1" applyFill="1" applyBorder="1"/>
    <x:xf numFmtId="0" fontId="66" fillId="41" borderId="211" xfId="0" applyNumberFormat="1" applyFont="1" applyFill="1" applyBorder="1"/>
    <x:xf numFmtId="0" fontId="66" fillId="41" borderId="212" xfId="0" applyNumberFormat="1" applyFont="1" applyFill="1" applyBorder="1"/>
    <x:xf numFmtId="0" fontId="66" fillId="41" borderId="213" xfId="0" applyNumberFormat="1" applyFont="1" applyFill="1" applyBorder="1"/>
    <x:xf numFmtId="0" fontId="66" fillId="41" borderId="214" xfId="0" applyNumberFormat="1" applyFont="1" applyFill="1" applyBorder="1"/>
    <x:xf numFmtId="0" fontId="66" fillId="41" xfId="0" applyNumberFormat="1" applyFont="1" applyFill="1" applyBorder="0"/>
    <x:xf numFmtId="0" fontId="66" fillId="41" borderId="215" xfId="0" applyNumberFormat="1" applyFont="1" applyFill="1" applyBorder="1"/>
    <x:xf numFmtId="0" fontId="66" fillId="41" borderId="216" xfId="0" applyNumberFormat="1" applyFont="1" applyFill="1" applyBorder="1"/>
    <x:xf numFmtId="0" fontId="66" fillId="41" borderId="208" xfId="0" applyNumberFormat="1" applyFont="1" applyFill="1" applyBorder="1"/>
    <x:xf numFmtId="0" fontId="66" fillId="41" borderId="217" xfId="0" applyNumberFormat="1" applyFont="1" applyFill="1" applyBorder="1"/>
    <x:xf numFmtId="0" fontId="66" fillId="41" borderId="211" xfId="0" applyNumberFormat="1" applyFont="1" applyFill="1" applyBorder="1" applyAlignment="1">
      <x:alignment horizontal="center"/>
    </x:xf>
    <x:xf numFmtId="0" fontId="66" fillId="41" borderId="212" xfId="0" applyNumberFormat="1" applyFont="1" applyFill="1" applyBorder="1" applyAlignment="1">
      <x:alignment horizontal="center"/>
    </x:xf>
    <x:xf numFmtId="0" fontId="66" fillId="41" borderId="213" xfId="0" applyNumberFormat="1" applyFont="1" applyFill="1" applyBorder="1" applyAlignment="1">
      <x:alignment horizontal="center"/>
    </x:xf>
    <x:xf numFmtId="0" fontId="66" fillId="41" borderId="214" xfId="0" applyNumberFormat="1" applyFont="1" applyFill="1" applyBorder="1" applyAlignment="1">
      <x:alignment horizontal="center"/>
    </x:xf>
    <x:xf numFmtId="0" fontId="66" fillId="41" xfId="0" applyNumberFormat="1" applyFont="1" applyFill="1" applyBorder="0" applyAlignment="1">
      <x:alignment horizontal="center"/>
    </x:xf>
    <x:xf numFmtId="0" fontId="66" fillId="41" borderId="215" xfId="0" applyNumberFormat="1" applyFont="1" applyFill="1" applyBorder="1" applyAlignment="1">
      <x:alignment horizontal="center"/>
    </x:xf>
    <x:xf numFmtId="0" fontId="66" fillId="41" borderId="216" xfId="0" applyNumberFormat="1" applyFont="1" applyFill="1" applyBorder="1" applyAlignment="1">
      <x:alignment horizontal="center"/>
    </x:xf>
    <x:xf numFmtId="0" fontId="66" fillId="41" borderId="208" xfId="0" applyNumberFormat="1" applyFont="1" applyFill="1" applyBorder="1" applyAlignment="1">
      <x:alignment horizontal="center"/>
    </x:xf>
    <x:xf numFmtId="0" fontId="66" fillId="41" borderId="217" xfId="0" applyNumberFormat="1" applyFont="1" applyFill="1" applyBorder="1" applyAlignment="1">
      <x:alignment horizontal="center"/>
    </x:xf>
    <x:xf numFmtId="0" fontId="66" fillId="41" borderId="211" xfId="0" applyNumberFormat="1" applyFont="1" applyFill="1" applyBorder="1" applyAlignment="1">
      <x:alignment horizontal="center" vertical="center"/>
    </x:xf>
    <x:xf numFmtId="0" fontId="66" fillId="41" borderId="212" xfId="0" applyNumberFormat="1" applyFont="1" applyFill="1" applyBorder="1" applyAlignment="1">
      <x:alignment horizontal="center" vertical="center"/>
    </x:xf>
    <x:xf numFmtId="0" fontId="66" fillId="41" borderId="213" xfId="0" applyNumberFormat="1" applyFont="1" applyFill="1" applyBorder="1" applyAlignment="1">
      <x:alignment horizontal="center" vertical="center"/>
    </x:xf>
    <x:xf numFmtId="0" fontId="66" fillId="41" borderId="214" xfId="0" applyNumberFormat="1" applyFont="1" applyFill="1" applyBorder="1" applyAlignment="1">
      <x:alignment horizontal="center" vertical="center"/>
    </x:xf>
    <x:xf numFmtId="0" fontId="66" fillId="41" xfId="0" applyNumberFormat="1" applyFont="1" applyFill="1" applyBorder="0" applyAlignment="1">
      <x:alignment horizontal="center" vertical="center"/>
    </x:xf>
    <x:xf numFmtId="0" fontId="66" fillId="41" borderId="215" xfId="0" applyNumberFormat="1" applyFont="1" applyFill="1" applyBorder="1" applyAlignment="1">
      <x:alignment horizontal="center" vertical="center"/>
    </x:xf>
    <x:xf numFmtId="0" fontId="66" fillId="41" borderId="216" xfId="0" applyNumberFormat="1" applyFont="1" applyFill="1" applyBorder="1" applyAlignment="1">
      <x:alignment horizontal="center" vertical="center"/>
    </x:xf>
    <x:xf numFmtId="0" fontId="66" fillId="41" borderId="208" xfId="0" applyNumberFormat="1" applyFont="1" applyFill="1" applyBorder="1" applyAlignment="1">
      <x:alignment horizontal="center" vertical="center"/>
    </x:xf>
    <x:xf numFmtId="0" fontId="66" fillId="41" borderId="217" xfId="0" applyNumberFormat="1" applyFont="1" applyFill="1" applyBorder="1" applyAlignment="1">
      <x:alignment horizontal="center" vertical="center"/>
    </x:xf>
    <x:xf numFmtId="0" fontId="66" fillId="40" borderId="0" xfId="0" applyNumberFormat="1" applyFont="1" applyFill="1" applyBorder="1"/>
    <x:xf numFmtId="0" fontId="66" fillId="40" borderId="211" xfId="0" applyNumberFormat="1" applyFont="1" applyFill="1" applyBorder="1"/>
    <x:xf numFmtId="0" fontId="66" fillId="40" borderId="212" xfId="0" applyNumberFormat="1" applyFont="1" applyFill="1" applyBorder="1"/>
    <x:xf numFmtId="0" fontId="66" fillId="40" borderId="213" xfId="0" applyNumberFormat="1" applyFont="1" applyFill="1" applyBorder="1"/>
    <x:xf numFmtId="0" fontId="66" fillId="40" borderId="214" xfId="0" applyNumberFormat="1" applyFont="1" applyFill="1" applyBorder="1"/>
    <x:xf numFmtId="0" fontId="66" fillId="40" xfId="0" applyNumberFormat="1" applyFont="1" applyFill="1" applyBorder="0"/>
    <x:xf numFmtId="0" fontId="66" fillId="40" borderId="215" xfId="0" applyNumberFormat="1" applyFont="1" applyFill="1" applyBorder="1"/>
    <x:xf numFmtId="0" fontId="66" fillId="40" borderId="216" xfId="0" applyNumberFormat="1" applyFont="1" applyFill="1" applyBorder="1"/>
    <x:xf numFmtId="0" fontId="66" fillId="40" borderId="208" xfId="0" applyNumberFormat="1" applyFont="1" applyFill="1" applyBorder="1"/>
    <x:xf numFmtId="0" fontId="66" fillId="40" borderId="217" xfId="0" applyNumberFormat="1" applyFont="1" applyFill="1" applyBorder="1"/>
    <x:xf numFmtId="0" fontId="66" fillId="40" borderId="211" xfId="0" applyNumberFormat="1" applyFont="1" applyFill="1" applyBorder="1" applyAlignment="1">
      <x:alignment horizontal="center"/>
    </x:xf>
    <x:xf numFmtId="0" fontId="66" fillId="40" borderId="212" xfId="0" applyNumberFormat="1" applyFont="1" applyFill="1" applyBorder="1" applyAlignment="1">
      <x:alignment horizontal="center"/>
    </x:xf>
    <x:xf numFmtId="0" fontId="66" fillId="40" borderId="213" xfId="0" applyNumberFormat="1" applyFont="1" applyFill="1" applyBorder="1" applyAlignment="1">
      <x:alignment horizontal="center"/>
    </x:xf>
    <x:xf numFmtId="0" fontId="66" fillId="40" borderId="214" xfId="0" applyNumberFormat="1" applyFont="1" applyFill="1" applyBorder="1" applyAlignment="1">
      <x:alignment horizontal="center"/>
    </x:xf>
    <x:xf numFmtId="0" fontId="66" fillId="40" xfId="0" applyNumberFormat="1" applyFont="1" applyFill="1" applyBorder="0" applyAlignment="1">
      <x:alignment horizontal="center"/>
    </x:xf>
    <x:xf numFmtId="0" fontId="66" fillId="40" borderId="215" xfId="0" applyNumberFormat="1" applyFont="1" applyFill="1" applyBorder="1" applyAlignment="1">
      <x:alignment horizontal="center"/>
    </x:xf>
    <x:xf numFmtId="0" fontId="66" fillId="40" borderId="216" xfId="0" applyNumberFormat="1" applyFont="1" applyFill="1" applyBorder="1" applyAlignment="1">
      <x:alignment horizontal="center"/>
    </x:xf>
    <x:xf numFmtId="0" fontId="66" fillId="40" borderId="208" xfId="0" applyNumberFormat="1" applyFont="1" applyFill="1" applyBorder="1" applyAlignment="1">
      <x:alignment horizontal="center"/>
    </x:xf>
    <x:xf numFmtId="0" fontId="66" fillId="40" borderId="217" xfId="0" applyNumberFormat="1" applyFont="1" applyFill="1" applyBorder="1" applyAlignment="1">
      <x:alignment horizontal="center"/>
    </x:xf>
    <x:xf numFmtId="0" fontId="66" fillId="40" borderId="211" xfId="0" applyNumberFormat="1" applyFont="1" applyFill="1" applyBorder="1" applyAlignment="1">
      <x:alignment horizontal="center" vertical="center"/>
    </x:xf>
    <x:xf numFmtId="0" fontId="66" fillId="40" borderId="212" xfId="0" applyNumberFormat="1" applyFont="1" applyFill="1" applyBorder="1" applyAlignment="1">
      <x:alignment horizontal="center" vertical="center"/>
    </x:xf>
    <x:xf numFmtId="0" fontId="66" fillId="40" borderId="213" xfId="0" applyNumberFormat="1" applyFont="1" applyFill="1" applyBorder="1" applyAlignment="1">
      <x:alignment horizontal="center" vertical="center"/>
    </x:xf>
    <x:xf numFmtId="0" fontId="66" fillId="40" borderId="214" xfId="0" applyNumberFormat="1" applyFont="1" applyFill="1" applyBorder="1" applyAlignment="1">
      <x:alignment horizontal="center" vertical="center"/>
    </x:xf>
    <x:xf numFmtId="0" fontId="66" fillId="40" xfId="0" applyNumberFormat="1" applyFont="1" applyFill="1" applyBorder="0" applyAlignment="1">
      <x:alignment horizontal="center" vertical="center"/>
    </x:xf>
    <x:xf numFmtId="0" fontId="66" fillId="40" borderId="215" xfId="0" applyNumberFormat="1" applyFont="1" applyFill="1" applyBorder="1" applyAlignment="1">
      <x:alignment horizontal="center" vertical="center"/>
    </x:xf>
    <x:xf numFmtId="0" fontId="66" fillId="40" borderId="216" xfId="0" applyNumberFormat="1" applyFont="1" applyFill="1" applyBorder="1" applyAlignment="1">
      <x:alignment horizontal="center" vertical="center"/>
    </x:xf>
    <x:xf numFmtId="0" fontId="66" fillId="40" borderId="208" xfId="0" applyNumberFormat="1" applyFont="1" applyFill="1" applyBorder="1" applyAlignment="1">
      <x:alignment horizontal="center" vertical="center"/>
    </x:xf>
    <x:xf numFmtId="0" fontId="66" fillId="40" borderId="217" xfId="0" applyNumberFormat="1" applyFont="1" applyFill="1" applyBorder="1" applyAlignment="1">
      <x:alignment horizontal="center" vertical="center"/>
    </x:xf>
    <x:xf numFmtId="0" fontId="66" fillId="39" borderId="0" xfId="0" applyNumberFormat="1" applyFont="1" applyFill="1" applyBorder="1"/>
    <x:xf numFmtId="0" fontId="66" fillId="39" borderId="211" xfId="0" applyNumberFormat="1" applyFont="1" applyFill="1" applyBorder="1"/>
    <x:xf numFmtId="0" fontId="66" fillId="39" borderId="212" xfId="0" applyNumberFormat="1" applyFont="1" applyFill="1" applyBorder="1"/>
    <x:xf numFmtId="0" fontId="66" fillId="39" borderId="213" xfId="0" applyNumberFormat="1" applyFont="1" applyFill="1" applyBorder="1"/>
    <x:xf numFmtId="0" fontId="66" fillId="39" borderId="214" xfId="0" applyNumberFormat="1" applyFont="1" applyFill="1" applyBorder="1"/>
    <x:xf numFmtId="0" fontId="66" fillId="39" xfId="0" applyNumberFormat="1" applyFont="1" applyFill="1" applyBorder="0"/>
    <x:xf numFmtId="0" fontId="66" fillId="39" borderId="215" xfId="0" applyNumberFormat="1" applyFont="1" applyFill="1" applyBorder="1"/>
    <x:xf numFmtId="0" fontId="66" fillId="39" borderId="216" xfId="0" applyNumberFormat="1" applyFont="1" applyFill="1" applyBorder="1"/>
    <x:xf numFmtId="0" fontId="66" fillId="39" borderId="208" xfId="0" applyNumberFormat="1" applyFont="1" applyFill="1" applyBorder="1"/>
    <x:xf numFmtId="0" fontId="66" fillId="39" borderId="217" xfId="0" applyNumberFormat="1" applyFont="1" applyFill="1" applyBorder="1"/>
    <x:xf numFmtId="0" fontId="66" fillId="39" borderId="211" xfId="0" applyNumberFormat="1" applyFont="1" applyFill="1" applyBorder="1" applyAlignment="1">
      <x:alignment horizontal="center"/>
    </x:xf>
    <x:xf numFmtId="0" fontId="66" fillId="39" borderId="212" xfId="0" applyNumberFormat="1" applyFont="1" applyFill="1" applyBorder="1" applyAlignment="1">
      <x:alignment horizontal="center"/>
    </x:xf>
    <x:xf numFmtId="0" fontId="66" fillId="39" borderId="213" xfId="0" applyNumberFormat="1" applyFont="1" applyFill="1" applyBorder="1" applyAlignment="1">
      <x:alignment horizontal="center"/>
    </x:xf>
    <x:xf numFmtId="0" fontId="66" fillId="39" borderId="214" xfId="0" applyNumberFormat="1" applyFont="1" applyFill="1" applyBorder="1" applyAlignment="1">
      <x:alignment horizontal="center"/>
    </x:xf>
    <x:xf numFmtId="0" fontId="66" fillId="39" xfId="0" applyNumberFormat="1" applyFont="1" applyFill="1" applyBorder="0" applyAlignment="1">
      <x:alignment horizontal="center"/>
    </x:xf>
    <x:xf numFmtId="0" fontId="66" fillId="39" borderId="215" xfId="0" applyNumberFormat="1" applyFont="1" applyFill="1" applyBorder="1" applyAlignment="1">
      <x:alignment horizontal="center"/>
    </x:xf>
    <x:xf numFmtId="0" fontId="66" fillId="39" borderId="216" xfId="0" applyNumberFormat="1" applyFont="1" applyFill="1" applyBorder="1" applyAlignment="1">
      <x:alignment horizontal="center"/>
    </x:xf>
    <x:xf numFmtId="0" fontId="66" fillId="39" borderId="208" xfId="0" applyNumberFormat="1" applyFont="1" applyFill="1" applyBorder="1" applyAlignment="1">
      <x:alignment horizontal="center"/>
    </x:xf>
    <x:xf numFmtId="0" fontId="66" fillId="39" borderId="217" xfId="0" applyNumberFormat="1" applyFont="1" applyFill="1" applyBorder="1" applyAlignment="1">
      <x:alignment horizontal="center"/>
    </x:xf>
    <x:xf numFmtId="0" fontId="66" fillId="39" borderId="211" xfId="0" applyNumberFormat="1" applyFont="1" applyFill="1" applyBorder="1" applyAlignment="1">
      <x:alignment horizontal="center" vertical="center"/>
    </x:xf>
    <x:xf numFmtId="0" fontId="66" fillId="39" borderId="212" xfId="0" applyNumberFormat="1" applyFont="1" applyFill="1" applyBorder="1" applyAlignment="1">
      <x:alignment horizontal="center" vertical="center"/>
    </x:xf>
    <x:xf numFmtId="0" fontId="66" fillId="39" borderId="213" xfId="0" applyNumberFormat="1" applyFont="1" applyFill="1" applyBorder="1" applyAlignment="1">
      <x:alignment horizontal="center" vertical="center"/>
    </x:xf>
    <x:xf numFmtId="0" fontId="66" fillId="39" borderId="214" xfId="0" applyNumberFormat="1" applyFont="1" applyFill="1" applyBorder="1" applyAlignment="1">
      <x:alignment horizontal="center" vertical="center"/>
    </x:xf>
    <x:xf numFmtId="0" fontId="66" fillId="39" xfId="0" applyNumberFormat="1" applyFont="1" applyFill="1" applyBorder="0" applyAlignment="1">
      <x:alignment horizontal="center" vertical="center"/>
    </x:xf>
    <x:xf numFmtId="0" fontId="66" fillId="39" borderId="215" xfId="0" applyNumberFormat="1" applyFont="1" applyFill="1" applyBorder="1" applyAlignment="1">
      <x:alignment horizontal="center" vertical="center"/>
    </x:xf>
    <x:xf numFmtId="0" fontId="66" fillId="39" borderId="216" xfId="0" applyNumberFormat="1" applyFont="1" applyFill="1" applyBorder="1" applyAlignment="1">
      <x:alignment horizontal="center" vertical="center"/>
    </x:xf>
    <x:xf numFmtId="0" fontId="66" fillId="39" borderId="208" xfId="0" applyNumberFormat="1" applyFont="1" applyFill="1" applyBorder="1" applyAlignment="1">
      <x:alignment horizontal="center" vertical="center"/>
    </x:xf>
    <x:xf numFmtId="0" fontId="66" fillId="39" borderId="217" xfId="0" applyNumberFormat="1" applyFont="1" applyFill="1" applyBorder="1" applyAlignment="1">
      <x:alignment horizontal="center" vertical="center"/>
    </x:xf>
    <x:xf numFmtId="0" fontId="66" fillId="36" borderId="0" xfId="0" applyNumberFormat="1" applyFont="1" applyFill="1" applyBorder="1"/>
    <x:xf numFmtId="0" fontId="66" fillId="36" borderId="211" xfId="0" applyNumberFormat="1" applyFont="1" applyFill="1" applyBorder="1"/>
    <x:xf numFmtId="0" fontId="66" fillId="36" borderId="212" xfId="0" applyNumberFormat="1" applyFont="1" applyFill="1" applyBorder="1"/>
    <x:xf numFmtId="0" fontId="66" fillId="36" borderId="213" xfId="0" applyNumberFormat="1" applyFont="1" applyFill="1" applyBorder="1"/>
    <x:xf numFmtId="0" fontId="66" fillId="36" borderId="214" xfId="0" applyNumberFormat="1" applyFont="1" applyFill="1" applyBorder="1"/>
    <x:xf numFmtId="0" fontId="66" fillId="36" xfId="0" applyNumberFormat="1" applyFont="1" applyFill="1" applyBorder="0"/>
    <x:xf numFmtId="0" fontId="66" fillId="36" borderId="215" xfId="0" applyNumberFormat="1" applyFont="1" applyFill="1" applyBorder="1"/>
    <x:xf numFmtId="0" fontId="66" fillId="36" borderId="216" xfId="0" applyNumberFormat="1" applyFont="1" applyFill="1" applyBorder="1"/>
    <x:xf numFmtId="0" fontId="66" fillId="36" borderId="208" xfId="0" applyNumberFormat="1" applyFont="1" applyFill="1" applyBorder="1"/>
    <x:xf numFmtId="0" fontId="66" fillId="36" borderId="217" xfId="0" applyNumberFormat="1" applyFont="1" applyFill="1" applyBorder="1"/>
    <x:xf numFmtId="0" fontId="66" fillId="36" borderId="211" xfId="0" applyNumberFormat="1" applyFont="1" applyFill="1" applyBorder="1" applyAlignment="1">
      <x:alignment horizontal="center"/>
    </x:xf>
    <x:xf numFmtId="0" fontId="66" fillId="36" borderId="212" xfId="0" applyNumberFormat="1" applyFont="1" applyFill="1" applyBorder="1" applyAlignment="1">
      <x:alignment horizontal="center"/>
    </x:xf>
    <x:xf numFmtId="0" fontId="66" fillId="36" borderId="213" xfId="0" applyNumberFormat="1" applyFont="1" applyFill="1" applyBorder="1" applyAlignment="1">
      <x:alignment horizontal="center"/>
    </x:xf>
    <x:xf numFmtId="0" fontId="66" fillId="36" borderId="214" xfId="0" applyNumberFormat="1" applyFont="1" applyFill="1" applyBorder="1" applyAlignment="1">
      <x:alignment horizontal="center"/>
    </x:xf>
    <x:xf numFmtId="0" fontId="66" fillId="36" xfId="0" applyNumberFormat="1" applyFont="1" applyFill="1" applyBorder="0" applyAlignment="1">
      <x:alignment horizontal="center"/>
    </x:xf>
    <x:xf numFmtId="0" fontId="66" fillId="36" borderId="215" xfId="0" applyNumberFormat="1" applyFont="1" applyFill="1" applyBorder="1" applyAlignment="1">
      <x:alignment horizontal="center"/>
    </x:xf>
    <x:xf numFmtId="0" fontId="66" fillId="36" borderId="216" xfId="0" applyNumberFormat="1" applyFont="1" applyFill="1" applyBorder="1" applyAlignment="1">
      <x:alignment horizontal="center"/>
    </x:xf>
    <x:xf numFmtId="0" fontId="66" fillId="36" borderId="208" xfId="0" applyNumberFormat="1" applyFont="1" applyFill="1" applyBorder="1" applyAlignment="1">
      <x:alignment horizontal="center"/>
    </x:xf>
    <x:xf numFmtId="0" fontId="66" fillId="36" borderId="217" xfId="0" applyNumberFormat="1" applyFont="1" applyFill="1" applyBorder="1" applyAlignment="1">
      <x:alignment horizontal="center"/>
    </x:xf>
    <x:xf numFmtId="0" fontId="66" fillId="36" borderId="211" xfId="0" applyNumberFormat="1" applyFont="1" applyFill="1" applyBorder="1" applyAlignment="1">
      <x:alignment horizontal="center" vertical="center"/>
    </x:xf>
    <x:xf numFmtId="0" fontId="66" fillId="36" borderId="212" xfId="0" applyNumberFormat="1" applyFont="1" applyFill="1" applyBorder="1" applyAlignment="1">
      <x:alignment horizontal="center" vertical="center"/>
    </x:xf>
    <x:xf numFmtId="0" fontId="66" fillId="36" borderId="213" xfId="0" applyNumberFormat="1" applyFont="1" applyFill="1" applyBorder="1" applyAlignment="1">
      <x:alignment horizontal="center" vertical="center"/>
    </x:xf>
    <x:xf numFmtId="0" fontId="66" fillId="36" borderId="214" xfId="0" applyNumberFormat="1" applyFont="1" applyFill="1" applyBorder="1" applyAlignment="1">
      <x:alignment horizontal="center" vertical="center"/>
    </x:xf>
    <x:xf numFmtId="0" fontId="66" fillId="36" xfId="0" applyNumberFormat="1" applyFont="1" applyFill="1" applyBorder="0" applyAlignment="1">
      <x:alignment horizontal="center" vertical="center"/>
    </x:xf>
    <x:xf numFmtId="0" fontId="66" fillId="36" borderId="215" xfId="0" applyNumberFormat="1" applyFont="1" applyFill="1" applyBorder="1" applyAlignment="1">
      <x:alignment horizontal="center" vertical="center"/>
    </x:xf>
    <x:xf numFmtId="0" fontId="66" fillId="36" borderId="216" xfId="0" applyNumberFormat="1" applyFont="1" applyFill="1" applyBorder="1" applyAlignment="1">
      <x:alignment horizontal="center" vertical="center"/>
    </x:xf>
    <x:xf numFmtId="0" fontId="66" fillId="36" borderId="208" xfId="0" applyNumberFormat="1" applyFont="1" applyFill="1" applyBorder="1" applyAlignment="1">
      <x:alignment horizontal="center" vertical="center"/>
    </x:xf>
    <x:xf numFmtId="0" fontId="66" fillId="36" borderId="217" xfId="0" applyNumberFormat="1" applyFont="1" applyFill="1" applyBorder="1" applyAlignment="1">
      <x:alignment horizontal="center" vertical="center"/>
    </x:xf>
    <x:xf numFmtId="208" fontId="66" fillId="41" borderId="211" xfId="0" applyNumberFormat="1" applyFont="1" applyFill="1" applyBorder="1" applyAlignment="1">
      <x:alignment horizontal="center" vertical="center"/>
    </x:xf>
    <x:xf numFmtId="208" fontId="66" fillId="41" borderId="212" xfId="0" applyNumberFormat="1" applyFont="1" applyFill="1" applyBorder="1" applyAlignment="1">
      <x:alignment horizontal="center" vertical="center"/>
    </x:xf>
    <x:xf numFmtId="208" fontId="66" fillId="41" borderId="213" xfId="0" applyNumberFormat="1" applyFont="1" applyFill="1" applyBorder="1" applyAlignment="1">
      <x:alignment horizontal="center" vertical="center"/>
    </x:xf>
    <x:xf numFmtId="208" fontId="66" fillId="40" borderId="211" xfId="0" applyNumberFormat="1" applyFont="1" applyFill="1" applyBorder="1" applyAlignment="1">
      <x:alignment horizontal="center" vertical="center"/>
    </x:xf>
    <x:xf numFmtId="208" fontId="66" fillId="40" borderId="212" xfId="0" applyNumberFormat="1" applyFont="1" applyFill="1" applyBorder="1" applyAlignment="1">
      <x:alignment horizontal="center" vertical="center"/>
    </x:xf>
    <x:xf numFmtId="208" fontId="66" fillId="40" borderId="213" xfId="0" applyNumberFormat="1" applyFont="1" applyFill="1" applyBorder="1" applyAlignment="1">
      <x:alignment horizontal="center" vertical="center"/>
    </x:xf>
    <x:xf numFmtId="208" fontId="66" fillId="39" borderId="211" xfId="0" applyNumberFormat="1" applyFont="1" applyFill="1" applyBorder="1" applyAlignment="1">
      <x:alignment horizontal="center" vertical="center"/>
    </x:xf>
    <x:xf numFmtId="208" fontId="66" fillId="39" borderId="212" xfId="0" applyNumberFormat="1" applyFont="1" applyFill="1" applyBorder="1" applyAlignment="1">
      <x:alignment horizontal="center" vertical="center"/>
    </x:xf>
    <x:xf numFmtId="208" fontId="66" fillId="39" borderId="213" xfId="0" applyNumberFormat="1" applyFont="1" applyFill="1" applyBorder="1" applyAlignment="1">
      <x:alignment horizontal="center" vertical="center"/>
    </x:xf>
    <x:xf numFmtId="208" fontId="66" fillId="41" borderId="214" xfId="0" applyNumberFormat="1" applyFont="1" applyFill="1" applyBorder="1" applyAlignment="1">
      <x:alignment horizontal="center" vertical="center"/>
    </x:xf>
    <x:xf numFmtId="208" fontId="66" fillId="41" xfId="0" applyNumberFormat="1" applyFont="1" applyFill="1" applyBorder="0" applyAlignment="1">
      <x:alignment horizontal="center" vertical="center"/>
    </x:xf>
    <x:xf numFmtId="208" fontId="66" fillId="41" borderId="215" xfId="0" applyNumberFormat="1" applyFont="1" applyFill="1" applyBorder="1" applyAlignment="1">
      <x:alignment horizontal="center" vertical="center"/>
    </x:xf>
    <x:xf numFmtId="208" fontId="66" fillId="40" borderId="214" xfId="0" applyNumberFormat="1" applyFont="1" applyFill="1" applyBorder="1" applyAlignment="1">
      <x:alignment horizontal="center" vertical="center"/>
    </x:xf>
    <x:xf numFmtId="208" fontId="66" fillId="40" xfId="0" applyNumberFormat="1" applyFont="1" applyFill="1" applyBorder="0" applyAlignment="1">
      <x:alignment horizontal="center" vertical="center"/>
    </x:xf>
    <x:xf numFmtId="208" fontId="66" fillId="40" borderId="215" xfId="0" applyNumberFormat="1" applyFont="1" applyFill="1" applyBorder="1" applyAlignment="1">
      <x:alignment horizontal="center" vertical="center"/>
    </x:xf>
    <x:xf numFmtId="208" fontId="66" fillId="39" borderId="214" xfId="0" applyNumberFormat="1" applyFont="1" applyFill="1" applyBorder="1" applyAlignment="1">
      <x:alignment horizontal="center" vertical="center"/>
    </x:xf>
    <x:xf numFmtId="208" fontId="66" fillId="39" xfId="0" applyNumberFormat="1" applyFont="1" applyFill="1" applyBorder="0" applyAlignment="1">
      <x:alignment horizontal="center" vertical="center"/>
    </x:xf>
    <x:xf numFmtId="208" fontId="66" fillId="39" borderId="215" xfId="0" applyNumberFormat="1" applyFont="1" applyFill="1" applyBorder="1" applyAlignment="1">
      <x:alignment horizontal="center" vertical="center"/>
    </x:xf>
    <x:xf numFmtId="208" fontId="66" fillId="41" borderId="216" xfId="0" applyNumberFormat="1" applyFont="1" applyFill="1" applyBorder="1" applyAlignment="1">
      <x:alignment horizontal="center" vertical="center"/>
    </x:xf>
    <x:xf numFmtId="208" fontId="66" fillId="41" borderId="208" xfId="0" applyNumberFormat="1" applyFont="1" applyFill="1" applyBorder="1" applyAlignment="1">
      <x:alignment horizontal="center" vertical="center"/>
    </x:xf>
    <x:xf numFmtId="208" fontId="66" fillId="41" borderId="217" xfId="0" applyNumberFormat="1" applyFont="1" applyFill="1" applyBorder="1" applyAlignment="1">
      <x:alignment horizontal="center" vertical="center"/>
    </x:xf>
    <x:xf numFmtId="208" fontId="66" fillId="40" borderId="216" xfId="0" applyNumberFormat="1" applyFont="1" applyFill="1" applyBorder="1" applyAlignment="1">
      <x:alignment horizontal="center" vertical="center"/>
    </x:xf>
    <x:xf numFmtId="208" fontId="66" fillId="40" borderId="208" xfId="0" applyNumberFormat="1" applyFont="1" applyFill="1" applyBorder="1" applyAlignment="1">
      <x:alignment horizontal="center" vertical="center"/>
    </x:xf>
    <x:xf numFmtId="208" fontId="66" fillId="40" borderId="217" xfId="0" applyNumberFormat="1" applyFont="1" applyFill="1" applyBorder="1" applyAlignment="1">
      <x:alignment horizontal="center" vertical="center"/>
    </x:xf>
    <x:xf numFmtId="208" fontId="66" fillId="39" borderId="216" xfId="0" applyNumberFormat="1" applyFont="1" applyFill="1" applyBorder="1" applyAlignment="1">
      <x:alignment horizontal="center" vertical="center"/>
    </x:xf>
    <x:xf numFmtId="208" fontId="66" fillId="39" borderId="208" xfId="0" applyNumberFormat="1" applyFont="1" applyFill="1" applyBorder="1" applyAlignment="1">
      <x:alignment horizontal="center" vertical="center"/>
    </x:xf>
    <x:xf numFmtId="208" fontId="66" fillId="39" borderId="217" xfId="0" applyNumberFormat="1" applyFont="1" applyFill="1" applyBorder="1" applyAlignment="1">
      <x:alignment horizontal="center" vertical="center"/>
    </x:xf>
    <x:xf numFmtId="213" fontId="66" fillId="36" borderId="211" xfId="0" applyNumberFormat="1" applyFont="1" applyFill="1" applyBorder="1" applyAlignment="1">
      <x:alignment horizontal="center" vertical="center"/>
    </x:xf>
    <x:xf numFmtId="213" fontId="66" fillId="36" borderId="212" xfId="0" applyNumberFormat="1" applyFont="1" applyFill="1" applyBorder="1" applyAlignment="1">
      <x:alignment horizontal="center" vertical="center"/>
    </x:xf>
    <x:xf numFmtId="213" fontId="66" fillId="36" borderId="213" xfId="0" applyNumberFormat="1" applyFont="1" applyFill="1" applyBorder="1" applyAlignment="1">
      <x:alignment horizontal="center" vertical="center"/>
    </x:xf>
    <x:xf numFmtId="213" fontId="66" fillId="36" borderId="214" xfId="0" applyNumberFormat="1" applyFont="1" applyFill="1" applyBorder="1" applyAlignment="1">
      <x:alignment horizontal="center" vertical="center"/>
    </x:xf>
    <x:xf numFmtId="213" fontId="66" fillId="36" xfId="0" applyNumberFormat="1" applyFont="1" applyFill="1" applyBorder="0" applyAlignment="1">
      <x:alignment horizontal="center" vertical="center"/>
    </x:xf>
    <x:xf numFmtId="213" fontId="66" fillId="36" borderId="215" xfId="0" applyNumberFormat="1" applyFont="1" applyFill="1" applyBorder="1" applyAlignment="1">
      <x:alignment horizontal="center" vertical="center"/>
    </x:xf>
    <x:xf numFmtId="213" fontId="66" fillId="36" borderId="216" xfId="0" applyNumberFormat="1" applyFont="1" applyFill="1" applyBorder="1" applyAlignment="1">
      <x:alignment horizontal="center" vertical="center"/>
    </x:xf>
    <x:xf numFmtId="213" fontId="66" fillId="36" borderId="208" xfId="0" applyNumberFormat="1" applyFont="1" applyFill="1" applyBorder="1" applyAlignment="1">
      <x:alignment horizontal="center" vertical="center"/>
    </x:xf>
    <x:xf numFmtId="213" fontId="66" fillId="36" borderId="217" xfId="0" applyNumberFormat="1" applyFont="1" applyFill="1" applyBorder="1" applyAlignment="1">
      <x:alignment horizontal="center" vertical="center"/>
    </x:xf>
    <x:xf numFmtId="208" fontId="0" fillId="0" borderId="0" xfId="0" applyNumberFormat="1" applyFont="1" applyFill="1" applyBorder="1"/>
    <x:xf numFmtId="213" fontId="0" fillId="0" borderId="0" xfId="0" applyNumberFormat="1" applyFont="1" applyFill="1" applyBorder="1"/>
    <x:xf numFmtId="208" fontId="60" fillId="0" borderId="0" xfId="0" applyNumberFormat="1" applyFont="1" applyFill="1" applyBorder="1"/>
    <x:xf numFmtId="213" fontId="60" fillId="0" borderId="0" xfId="0" applyNumberFormat="1" applyFont="1" applyFill="1" applyBorder="1"/>
    <x:xf numFmtId="208" fontId="60" fillId="0" borderId="208" xfId="0" applyNumberFormat="1" applyFont="1" applyFill="1" applyBorder="1"/>
    <x:xf numFmtId="208" fontId="60" fillId="0" borderId="209" xfId="0" applyNumberFormat="1" applyFont="1" applyFill="1" applyBorder="1"/>
    <x:xf numFmtId="213" fontId="60" fillId="0" borderId="209" xfId="0" applyNumberFormat="1" applyFont="1" applyFill="1" applyBorder="1"/>
    <x:xf numFmtId="0" fontId="59" fillId="40" borderId="209" xfId="0" applyNumberFormat="1" applyFont="1" applyFill="1" applyBorder="1" applyAlignment="1">
      <x:alignment vertical="center"/>
    </x:xf>
    <x:xf numFmtId="0" fontId="58" fillId="33" borderId="0" xfId="0" applyNumberFormat="1" applyFont="1" applyFill="1" applyBorder="1"/>
    <x:xf numFmtId="0" fontId="58" fillId="33" borderId="226" xfId="0" applyNumberFormat="1" applyFont="1" applyFill="1" applyBorder="1"/>
    <x:xf numFmtId="0" fontId="58" fillId="33" borderId="227" xfId="0" applyNumberFormat="1" applyFont="1" applyFill="1" applyBorder="1"/>
    <x:xf numFmtId="0" fontId="58" fillId="33" borderId="228" xfId="0" applyNumberFormat="1" applyFont="1" applyFill="1" applyBorder="1"/>
    <x:xf numFmtId="0" fontId="58" fillId="33" borderId="229" xfId="0" applyNumberFormat="1" applyFont="1" applyFill="1" applyBorder="1"/>
    <x:xf numFmtId="0" fontId="58" fillId="33" xfId="0" applyNumberFormat="1" applyFont="1" applyFill="1" applyBorder="0"/>
    <x:xf numFmtId="0" fontId="58" fillId="33" borderId="230" xfId="0" applyNumberFormat="1" applyFont="1" applyFill="1" applyBorder="1"/>
    <x:xf numFmtId="0" fontId="58" fillId="33" borderId="231" xfId="0" applyNumberFormat="1" applyFont="1" applyFill="1" applyBorder="1"/>
    <x:xf numFmtId="0" fontId="58" fillId="33" borderId="232" xfId="0" applyNumberFormat="1" applyFont="1" applyFill="1" applyBorder="1"/>
    <x:xf numFmtId="0" fontId="58" fillId="33" borderId="233" xfId="0" applyNumberFormat="1" applyFont="1" applyFill="1" applyBorder="1"/>
    <x:xf numFmtId="0" fontId="58" fillId="33" borderId="226" xfId="0" applyNumberFormat="1" applyFont="1" applyFill="1" applyBorder="1" applyAlignment="1">
      <x:alignment wrapText="1"/>
    </x:xf>
    <x:xf numFmtId="0" fontId="58" fillId="33" borderId="227" xfId="0" applyNumberFormat="1" applyFont="1" applyFill="1" applyBorder="1" applyAlignment="1">
      <x:alignment wrapText="1"/>
    </x:xf>
    <x:xf numFmtId="0" fontId="58" fillId="33" borderId="228" xfId="0" applyNumberFormat="1" applyFont="1" applyFill="1" applyBorder="1" applyAlignment="1">
      <x:alignment wrapText="1"/>
    </x:xf>
    <x:xf numFmtId="0" fontId="58" fillId="33" borderId="229" xfId="0" applyNumberFormat="1" applyFont="1" applyFill="1" applyBorder="1" applyAlignment="1">
      <x:alignment wrapText="1"/>
    </x:xf>
    <x:xf numFmtId="0" fontId="58" fillId="33" xfId="0" applyNumberFormat="1" applyFont="1" applyFill="1" applyBorder="0" applyAlignment="1">
      <x:alignment wrapText="1"/>
    </x:xf>
    <x:xf numFmtId="0" fontId="58" fillId="33" borderId="230" xfId="0" applyNumberFormat="1" applyFont="1" applyFill="1" applyBorder="1" applyAlignment="1">
      <x:alignment wrapText="1"/>
    </x:xf>
    <x:xf numFmtId="0" fontId="58" fillId="33" borderId="231" xfId="0" applyNumberFormat="1" applyFont="1" applyFill="1" applyBorder="1" applyAlignment="1">
      <x:alignment wrapText="1"/>
    </x:xf>
    <x:xf numFmtId="0" fontId="58" fillId="33" borderId="232" xfId="0" applyNumberFormat="1" applyFont="1" applyFill="1" applyBorder="1" applyAlignment="1">
      <x:alignment wrapText="1"/>
    </x:xf>
    <x:xf numFmtId="0" fontId="58" fillId="33" borderId="233" xfId="0" applyNumberFormat="1" applyFont="1" applyFill="1" applyBorder="1" applyAlignment="1">
      <x:alignment wrapText="1"/>
    </x:xf>
    <x:xf numFmtId="0" fontId="58" fillId="33" borderId="226" xfId="0" applyNumberFormat="1" applyFont="1" applyFill="1" applyBorder="1" applyAlignment="1">
      <x:alignment vertical="center" wrapText="1"/>
    </x:xf>
    <x:xf numFmtId="0" fontId="58" fillId="33" borderId="227" xfId="0" applyNumberFormat="1" applyFont="1" applyFill="1" applyBorder="1" applyAlignment="1">
      <x:alignment vertical="center" wrapText="1"/>
    </x:xf>
    <x:xf numFmtId="0" fontId="58" fillId="33" borderId="228" xfId="0" applyNumberFormat="1" applyFont="1" applyFill="1" applyBorder="1" applyAlignment="1">
      <x:alignment vertical="center" wrapText="1"/>
    </x:xf>
    <x:xf numFmtId="0" fontId="58" fillId="33" borderId="229" xfId="0" applyNumberFormat="1" applyFont="1" applyFill="1" applyBorder="1" applyAlignment="1">
      <x:alignment vertical="center" wrapText="1"/>
    </x:xf>
    <x:xf numFmtId="0" fontId="58" fillId="33" xfId="0" applyNumberFormat="1" applyFont="1" applyFill="1" applyBorder="0" applyAlignment="1">
      <x:alignment vertical="center" wrapText="1"/>
    </x:xf>
    <x:xf numFmtId="0" fontId="58" fillId="33" borderId="230" xfId="0" applyNumberFormat="1" applyFont="1" applyFill="1" applyBorder="1" applyAlignment="1">
      <x:alignment vertical="center" wrapText="1"/>
    </x:xf>
    <x:xf numFmtId="0" fontId="58" fillId="33" borderId="231" xfId="0" applyNumberFormat="1" applyFont="1" applyFill="1" applyBorder="1" applyAlignment="1">
      <x:alignment vertical="center" wrapText="1"/>
    </x:xf>
    <x:xf numFmtId="0" fontId="58" fillId="33" borderId="232" xfId="0" applyNumberFormat="1" applyFont="1" applyFill="1" applyBorder="1" applyAlignment="1">
      <x:alignment vertical="center" wrapText="1"/>
    </x:xf>
    <x:xf numFmtId="0" fontId="58" fillId="33" borderId="233" xfId="0" applyNumberFormat="1" applyFont="1" applyFill="1" applyBorder="1" applyAlignment="1">
      <x:alignment vertical="center" wrapText="1"/>
    </x:xf>
    <x:xf numFmtId="0" fontId="62" fillId="33" borderId="0" xfId="0" applyNumberFormat="1" applyFont="1" applyFill="1" applyBorder="1" applyAlignment="1">
      <x:alignment horizontal="center" wrapText="1"/>
    </x:xf>
    <x:xf numFmtId="208" fontId="66" fillId="41" borderId="211" xfId="0" applyNumberFormat="1" applyFont="1" applyFill="1" applyBorder="1" applyAlignment="1">
      <x:alignment horizontal="center" vertical="center" wrapText="1"/>
    </x:xf>
    <x:xf numFmtId="208" fontId="66" fillId="41" borderId="212" xfId="0" applyNumberFormat="1" applyFont="1" applyFill="1" applyBorder="1" applyAlignment="1">
      <x:alignment horizontal="center" vertical="center" wrapText="1"/>
    </x:xf>
    <x:xf numFmtId="208" fontId="66" fillId="41" borderId="213" xfId="0" applyNumberFormat="1" applyFont="1" applyFill="1" applyBorder="1" applyAlignment="1">
      <x:alignment horizontal="center" vertical="center" wrapText="1"/>
    </x:xf>
    <x:xf numFmtId="208" fontId="66" fillId="40" borderId="211" xfId="0" applyNumberFormat="1" applyFont="1" applyFill="1" applyBorder="1" applyAlignment="1">
      <x:alignment horizontal="center" vertical="center" wrapText="1"/>
    </x:xf>
    <x:xf numFmtId="208" fontId="66" fillId="40" borderId="212" xfId="0" applyNumberFormat="1" applyFont="1" applyFill="1" applyBorder="1" applyAlignment="1">
      <x:alignment horizontal="center" vertical="center" wrapText="1"/>
    </x:xf>
    <x:xf numFmtId="208" fontId="66" fillId="40" borderId="213" xfId="0" applyNumberFormat="1" applyFont="1" applyFill="1" applyBorder="1" applyAlignment="1">
      <x:alignment horizontal="center" vertical="center" wrapText="1"/>
    </x:xf>
    <x:xf numFmtId="208" fontId="66" fillId="39" borderId="211" xfId="0" applyNumberFormat="1" applyFont="1" applyFill="1" applyBorder="1" applyAlignment="1">
      <x:alignment horizontal="center" vertical="center" wrapText="1"/>
    </x:xf>
    <x:xf numFmtId="208" fontId="66" fillId="39" borderId="212" xfId="0" applyNumberFormat="1" applyFont="1" applyFill="1" applyBorder="1" applyAlignment="1">
      <x:alignment horizontal="center" vertical="center" wrapText="1"/>
    </x:xf>
    <x:xf numFmtId="208" fontId="66" fillId="39" borderId="213" xfId="0" applyNumberFormat="1" applyFont="1" applyFill="1" applyBorder="1" applyAlignment="1">
      <x:alignment horizontal="center" vertical="center" wrapText="1"/>
    </x:xf>
    <x:xf numFmtId="213" fontId="66" fillId="36" borderId="211" xfId="0" applyNumberFormat="1" applyFont="1" applyFill="1" applyBorder="1" applyAlignment="1">
      <x:alignment horizontal="center" vertical="center" wrapText="1"/>
    </x:xf>
    <x:xf numFmtId="213" fontId="66" fillId="36" borderId="212" xfId="0" applyNumberFormat="1" applyFont="1" applyFill="1" applyBorder="1" applyAlignment="1">
      <x:alignment horizontal="center" vertical="center" wrapText="1"/>
    </x:xf>
    <x:xf numFmtId="213" fontId="66" fillId="36" borderId="213" xfId="0" applyNumberFormat="1" applyFont="1" applyFill="1" applyBorder="1" applyAlignment="1">
      <x:alignment horizontal="center" vertical="center" wrapText="1"/>
    </x:xf>
    <x:xf numFmtId="208" fontId="66" fillId="41" borderId="214" xfId="0" applyNumberFormat="1" applyFont="1" applyFill="1" applyBorder="1" applyAlignment="1">
      <x:alignment horizontal="center" vertical="center" wrapText="1"/>
    </x:xf>
    <x:xf numFmtId="208" fontId="66" fillId="41" xfId="0" applyNumberFormat="1" applyFont="1" applyFill="1" applyBorder="0" applyAlignment="1">
      <x:alignment horizontal="center" vertical="center" wrapText="1"/>
    </x:xf>
    <x:xf numFmtId="208" fontId="66" fillId="41" borderId="215" xfId="0" applyNumberFormat="1" applyFont="1" applyFill="1" applyBorder="1" applyAlignment="1">
      <x:alignment horizontal="center" vertical="center" wrapText="1"/>
    </x:xf>
    <x:xf numFmtId="208" fontId="66" fillId="40" borderId="214" xfId="0" applyNumberFormat="1" applyFont="1" applyFill="1" applyBorder="1" applyAlignment="1">
      <x:alignment horizontal="center" vertical="center" wrapText="1"/>
    </x:xf>
    <x:xf numFmtId="208" fontId="66" fillId="40" xfId="0" applyNumberFormat="1" applyFont="1" applyFill="1" applyBorder="0" applyAlignment="1">
      <x:alignment horizontal="center" vertical="center" wrapText="1"/>
    </x:xf>
    <x:xf numFmtId="208" fontId="66" fillId="40" borderId="215" xfId="0" applyNumberFormat="1" applyFont="1" applyFill="1" applyBorder="1" applyAlignment="1">
      <x:alignment horizontal="center" vertical="center" wrapText="1"/>
    </x:xf>
    <x:xf numFmtId="208" fontId="66" fillId="39" borderId="214" xfId="0" applyNumberFormat="1" applyFont="1" applyFill="1" applyBorder="1" applyAlignment="1">
      <x:alignment horizontal="center" vertical="center" wrapText="1"/>
    </x:xf>
    <x:xf numFmtId="208" fontId="66" fillId="39" xfId="0" applyNumberFormat="1" applyFont="1" applyFill="1" applyBorder="0" applyAlignment="1">
      <x:alignment horizontal="center" vertical="center" wrapText="1"/>
    </x:xf>
    <x:xf numFmtId="208" fontId="66" fillId="39" borderId="215" xfId="0" applyNumberFormat="1" applyFont="1" applyFill="1" applyBorder="1" applyAlignment="1">
      <x:alignment horizontal="center" vertical="center" wrapText="1"/>
    </x:xf>
    <x:xf numFmtId="213" fontId="66" fillId="36" borderId="214" xfId="0" applyNumberFormat="1" applyFont="1" applyFill="1" applyBorder="1" applyAlignment="1">
      <x:alignment horizontal="center" vertical="center" wrapText="1"/>
    </x:xf>
    <x:xf numFmtId="213" fontId="66" fillId="36" xfId="0" applyNumberFormat="1" applyFont="1" applyFill="1" applyBorder="0" applyAlignment="1">
      <x:alignment horizontal="center" vertical="center" wrapText="1"/>
    </x:xf>
    <x:xf numFmtId="213" fontId="66" fillId="36" borderId="215" xfId="0" applyNumberFormat="1" applyFont="1" applyFill="1" applyBorder="1" applyAlignment="1">
      <x:alignment horizontal="center" vertical="center" wrapText="1"/>
    </x:xf>
    <x:xf numFmtId="208" fontId="66" fillId="41" borderId="216" xfId="0" applyNumberFormat="1" applyFont="1" applyFill="1" applyBorder="1" applyAlignment="1">
      <x:alignment horizontal="center" vertical="center" wrapText="1"/>
    </x:xf>
    <x:xf numFmtId="208" fontId="66" fillId="41" borderId="208" xfId="0" applyNumberFormat="1" applyFont="1" applyFill="1" applyBorder="1" applyAlignment="1">
      <x:alignment horizontal="center" vertical="center" wrapText="1"/>
    </x:xf>
    <x:xf numFmtId="208" fontId="66" fillId="41" borderId="217" xfId="0" applyNumberFormat="1" applyFont="1" applyFill="1" applyBorder="1" applyAlignment="1">
      <x:alignment horizontal="center" vertical="center" wrapText="1"/>
    </x:xf>
    <x:xf numFmtId="208" fontId="66" fillId="40" borderId="216" xfId="0" applyNumberFormat="1" applyFont="1" applyFill="1" applyBorder="1" applyAlignment="1">
      <x:alignment horizontal="center" vertical="center" wrapText="1"/>
    </x:xf>
    <x:xf numFmtId="208" fontId="66" fillId="40" borderId="208" xfId="0" applyNumberFormat="1" applyFont="1" applyFill="1" applyBorder="1" applyAlignment="1">
      <x:alignment horizontal="center" vertical="center" wrapText="1"/>
    </x:xf>
    <x:xf numFmtId="208" fontId="66" fillId="40" borderId="217" xfId="0" applyNumberFormat="1" applyFont="1" applyFill="1" applyBorder="1" applyAlignment="1">
      <x:alignment horizontal="center" vertical="center" wrapText="1"/>
    </x:xf>
    <x:xf numFmtId="208" fontId="66" fillId="39" borderId="216" xfId="0" applyNumberFormat="1" applyFont="1" applyFill="1" applyBorder="1" applyAlignment="1">
      <x:alignment horizontal="center" vertical="center" wrapText="1"/>
    </x:xf>
    <x:xf numFmtId="208" fontId="66" fillId="39" borderId="208" xfId="0" applyNumberFormat="1" applyFont="1" applyFill="1" applyBorder="1" applyAlignment="1">
      <x:alignment horizontal="center" vertical="center" wrapText="1"/>
    </x:xf>
    <x:xf numFmtId="208" fontId="66" fillId="39" borderId="217" xfId="0" applyNumberFormat="1" applyFont="1" applyFill="1" applyBorder="1" applyAlignment="1">
      <x:alignment horizontal="center" vertical="center" wrapText="1"/>
    </x:xf>
    <x:xf numFmtId="213" fontId="66" fillId="36" borderId="216" xfId="0" applyNumberFormat="1" applyFont="1" applyFill="1" applyBorder="1" applyAlignment="1">
      <x:alignment horizontal="center" vertical="center" wrapText="1"/>
    </x:xf>
    <x:xf numFmtId="213" fontId="66" fillId="36" borderId="208" xfId="0" applyNumberFormat="1" applyFont="1" applyFill="1" applyBorder="1" applyAlignment="1">
      <x:alignment horizontal="center" vertical="center" wrapText="1"/>
    </x:xf>
    <x:xf numFmtId="213" fontId="66" fillId="36" borderId="217" xfId="0" applyNumberFormat="1" applyFont="1" applyFill="1" applyBorder="1" applyAlignment="1">
      <x:alignment horizontal="center" vertical="center" wrapText="1"/>
    </x:xf>
    <x:xf numFmtId="208" fontId="0" fillId="0" borderId="0" xfId="0" applyNumberFormat="1" applyFont="1" applyFill="1" applyBorder="1" applyAlignment="1">
      <x:alignment wrapText="1"/>
    </x:xf>
    <x:xf numFmtId="213" fontId="60" fillId="0" borderId="209" xfId="0" applyNumberFormat="1" applyFont="1" applyFill="1" applyBorder="1" applyAlignment="1">
      <x:alignment vertical="center" wrapText="1"/>
    </x:xf>
    <x:xf numFmtId="0" fontId="59" fillId="40" borderId="209" xfId="0" applyNumberFormat="1" applyFont="1" applyFill="1" applyBorder="1" applyAlignment="1">
      <x:alignment vertical="center" wrapText="1"/>
    </x:xf>
    <x:xf numFmtId="0" fontId="67" fillId="34" xfId="0" applyNumberFormat="1" applyFont="1" applyFill="1" applyBorder="0" applyAlignment="1">
      <x:alignment wrapText="1"/>
    </x:xf>
    <x:xf numFmtId="207" fontId="67" fillId="34" xfId="0" applyNumberFormat="1" applyFont="1" applyFill="1" applyBorder="0" applyAlignment="1">
      <x:alignment wrapText="1"/>
    </x:xf>
    <x:xf numFmtId="208" fontId="68" fillId="36" borderId="211" xfId="0" applyNumberFormat="1" applyFont="1" applyFill="1" applyBorder="1" applyAlignment="1">
      <x:alignment horizontal="center" vertical="center" wrapText="1"/>
    </x:xf>
    <x:xf numFmtId="208" fontId="68" fillId="37" borderId="211" xfId="0" applyNumberFormat="1" applyFont="1" applyFill="1" applyBorder="1" applyAlignment="1">
      <x:alignment horizontal="center" vertical="center" wrapText="1"/>
    </x:xf>
    <x:xf numFmtId="208" fontId="68" fillId="39" borderId="211" xfId="0" applyNumberFormat="1" applyFont="1" applyFill="1" applyBorder="1" applyAlignment="1">
      <x:alignment horizontal="center" vertical="center" wrapText="1"/>
    </x:xf>
    <x:xf numFmtId="208" fontId="67" fillId="0" borderId="208" xfId="0" applyNumberFormat="1" applyFont="1" applyFill="1" applyBorder="1" applyAlignment="1">
      <x:alignment vertical="center" wrapText="1"/>
    </x:xf>
    <x:xf numFmtId="208" fontId="67" fillId="41" borderId="209" xfId="0" applyNumberFormat="1" applyFont="1" applyFill="1" applyBorder="1" applyAlignment="1">
      <x:alignment vertical="center" wrapText="1"/>
    </x:xf>
    <x:xf numFmtId="213" fontId="67" fillId="41" borderId="209" xfId="0" applyNumberFormat="1" applyFont="1" applyFill="1" applyBorder="1" applyAlignment="1">
      <x:alignment vertical="center" wrapText="1"/>
    </x:xf>
    <x:xf numFmtId="208" fontId="67" fillId="40" borderId="209" xfId="0" applyNumberFormat="1" applyFont="1" applyFill="1" applyBorder="1" applyAlignment="1">
      <x:alignment vertical="center" wrapText="1"/>
    </x:xf>
    <x:xf numFmtId="213" fontId="67" fillId="40" borderId="209" xfId="0" applyNumberFormat="1" applyFont="1" applyFill="1" applyBorder="1" applyAlignment="1">
      <x:alignment vertical="center" wrapText="1"/>
    </x:xf>
    <x:xf numFmtId="213" fontId="67" fillId="39" borderId="209" xfId="0" applyNumberFormat="1" applyFont="1" applyFill="1" applyBorder="1" applyAlignment="1">
      <x:alignment vertical="center" wrapText="1"/>
    </x:xf>
    <x:xf numFmtId="0" fontId="67" fillId="0" borderId="209" xfId="0" applyNumberFormat="1" applyFont="1" applyFill="1" applyBorder="1" applyAlignment="1">
      <x:alignment vertical="center" wrapText="1"/>
    </x:xf>
    <x:xf numFmtId="208" fontId="67" fillId="0" borderId="209" xfId="0" applyNumberFormat="1" applyFont="1" applyFill="1" applyBorder="1" applyAlignment="1">
      <x:alignment vertical="center" wrapText="1"/>
    </x:xf>
    <x:xf numFmtId="208" fontId="67" fillId="37" borderId="208" xfId="0" applyNumberFormat="1" applyFont="1" applyFill="1" applyBorder="1" applyAlignment="1">
      <x:alignment vertical="center" wrapText="1"/>
    </x:xf>
    <x:xf numFmtId="208" fontId="67" fillId="39" borderId="209" xfId="0" applyNumberFormat="1" applyFont="1" applyFill="1" applyBorder="1" applyAlignment="1">
      <x:alignment vertical="center" wrapText="1"/>
    </x:xf>
    <x:xf numFmtId="0" fontId="67" fillId="0" borderId="208" xfId="0" applyNumberFormat="1" applyFont="1" applyFill="1" applyBorder="1" applyAlignment="1">
      <x:alignment vertical="center" wrapText="1"/>
    </x:xf>
    <x:xf numFmtId="207" fontId="67" fillId="0" borderId="209" xfId="0" applyNumberFormat="1" applyFont="1" applyFill="1" applyBorder="1" applyAlignment="1">
      <x:alignment vertical="center" wrapText="1"/>
    </x:xf>
    <x:xf numFmtId="212" fontId="67" fillId="0" borderId="207" xfId="0" applyNumberFormat="1" applyFont="1" applyFill="1" applyBorder="1" applyAlignment="1">
      <x:alignment wrapText="1"/>
    </x:xf>
    <x:xf numFmtId="209" fontId="67" fillId="0" borderId="208" xfId="0" applyNumberFormat="1" applyFont="1" applyFill="1" applyBorder="1" applyAlignment="1">
      <x:alignment vertical="center" wrapText="1"/>
    </x:xf>
    <x:xf numFmtId="209" fontId="67" fillId="0" borderId="209" xfId="0" applyNumberFormat="1" applyFont="1" applyFill="1" applyBorder="1" applyAlignment="1">
      <x:alignment vertical="center" wrapText="1"/>
    </x:xf>
    <x:xf numFmtId="210" fontId="67" fillId="0" borderId="209" xfId="0" applyNumberFormat="1" applyFont="1" applyFill="1" applyBorder="1" applyAlignment="1">
      <x:alignment vertical="center" wrapText="1"/>
    </x:xf>
    <x:xf numFmtId="211" fontId="67" fillId="0" borderId="209" xfId="0" applyNumberFormat="1" applyFont="1" applyFill="1" applyBorder="1" applyAlignment="1">
      <x:alignment vertical="center" wrapText="1"/>
    </x:xf>
    <x:xf numFmtId="208" fontId="68" fillId="41" borderId="211" xfId="0" applyNumberFormat="1" applyFont="1" applyFill="1" applyBorder="1" applyAlignment="1">
      <x:alignment horizontal="center" vertical="center" wrapText="1"/>
    </x:xf>
    <x:xf numFmtId="208" fontId="68" fillId="40" borderId="211" xfId="0" applyNumberFormat="1" applyFont="1" applyFill="1" applyBorder="1" applyAlignment="1">
      <x:alignment horizontal="center" vertical="center" wrapText="1"/>
    </x:xf>
    <x:xf numFmtId="213" fontId="68" fillId="36" borderId="211" xfId="0" applyNumberFormat="1" applyFont="1" applyFill="1" applyBorder="1" applyAlignment="1">
      <x:alignment horizontal="center" vertical="center" wrapText="1"/>
    </x:xf>
    <x:xf numFmtId="208" fontId="67" fillId="0" borderId="0" xfId="0" applyNumberFormat="1" applyFont="1" applyFill="1" applyBorder="1" applyAlignment="1">
      <x:alignment wrapText="1"/>
    </x:xf>
    <x:xf numFmtId="213" fontId="67" fillId="0" borderId="209" xfId="0" applyNumberFormat="1" applyFont="1" applyFill="1" applyBorder="1" applyAlignment="1">
      <x:alignment vertical="center" wrapText="1"/>
    </x:xf>
    <x:xf numFmtId="207" fontId="67" fillId="0" borderId="208" xfId="0" applyNumberFormat="1" applyFont="1" applyFill="1" applyBorder="1" applyAlignment="1">
      <x:alignment vertical="center" wrapText="1"/>
    </x:xf>
  </x:cellXfs>
  <x:cellStyles count="43">
    <x:cellStyle name="_Капитальные вложения Москва январь 2008" xfId="1"/>
    <x:cellStyle name="_Форма 8.20.2 - 01.10.07" xfId="2"/>
    <x:cellStyle name="Comma 2" xfId="3"/>
    <x:cellStyle name="Currency 2" xfId="4"/>
    <x:cellStyle name="Currency 2 2" xfId="5"/>
    <x:cellStyle name="Euro" xfId="6"/>
    <x:cellStyle name="Normal" xfId="0"/>
    <x:cellStyle name="Normal 2" xfId="7"/>
    <x:cellStyle name="Normal 3" xfId="8"/>
    <x:cellStyle name="Normal 5" xfId="9"/>
    <x:cellStyle name="Normal 5 2" xfId="10"/>
    <x:cellStyle name="Normal 7" xfId="11"/>
    <x:cellStyle name="Normal 8" xfId="12"/>
    <x:cellStyle name="Percent" xfId="28"/>
    <x:cellStyle name="Денежный 2" xfId="13"/>
    <x:cellStyle name="Денежный 2 2" xfId="14"/>
    <x:cellStyle name="Денежный 2 2 2" xfId="39"/>
    <x:cellStyle name="Денежный 2 3" xfId="36"/>
    <x:cellStyle name="Денежный 3" xfId="15"/>
    <x:cellStyle name="Обычный 2" xfId="16"/>
    <x:cellStyle name="Обычный 3" xfId="17"/>
    <x:cellStyle name="Обычный 3 2" xfId="18"/>
    <x:cellStyle name="Обычный 3 2 2" xfId="19"/>
    <x:cellStyle name="Обычный 3 2 2 2" xfId="41"/>
    <x:cellStyle name="Обычный 3 3" xfId="20"/>
    <x:cellStyle name="Обычный 3 3 2" xfId="40"/>
    <x:cellStyle name="Обычный 3 4" xfId="37"/>
    <x:cellStyle name="Обычный 4" xfId="21"/>
    <x:cellStyle name="Обычный 4 2" xfId="22"/>
    <x:cellStyle name="Обычный 4 3" xfId="23"/>
    <x:cellStyle name="Обычный 4 3 2" xfId="38"/>
    <x:cellStyle name="Обычный 5" xfId="24"/>
    <x:cellStyle name="Обычный 6" xfId="25"/>
    <x:cellStyle name="Обычный 7" xfId="26"/>
    <x:cellStyle name="Обычный_Шаблон паспорта проекта_1" xfId="27"/>
    <x:cellStyle name="Процентный 2" xfId="29"/>
    <x:cellStyle name="Процентный 3" xfId="30"/>
    <x:cellStyle name="Процентный 4" xfId="31"/>
    <x:cellStyle name="Процентный 5" xfId="32"/>
    <x:cellStyle name="Процентный 6" xfId="42"/>
    <x:cellStyle name="Стиль 1" xfId="33"/>
    <x:cellStyle name="Финансовый 2" xfId="34"/>
    <x:cellStyle name="Финансовый 3" xfId="35"/>
  </x:cellStyles>
  <x:dxfs count="6">
    <x:dxf>
      <x:fill>
        <x:patternFill>
          <x:bgColor rgb="FFFAFAFA"/>
        </x:patternFill>
      </x:fill>
    </x:dxf>
    <x:dxf>
      <x:font>
        <x:b/>
      </x:font>
      <x:border>
        <x:top style="thin">
          <x:color auto="1"/>
        </x:top>
      </x:border>
    </x:dxf>
    <x:dxf>
      <x:font>
        <x:b/>
        <x:color theme="0"/>
      </x:font>
      <x:fill>
        <x:patternFill>
          <x:bgColor theme="1"/>
        </x:patternFill>
      </x:fill>
    </x:dxf>
    <x:dxf>
      <x:border>
        <x:left style="thin">
          <x:color theme="0" tint="-0.04999"/>
        </x:left>
        <x:right style="thin">
          <x:color theme="0" tint="-0.04999"/>
        </x:right>
        <x:top style="thin">
          <x:color theme="0" tint="-0.34999"/>
        </x:top>
        <x:bottom style="thin">
          <x:color theme="0" tint="-0.34999"/>
        </x:bottom>
      </x:border>
    </x:dxf>
    <x:dxf>
      <x:font>
        <x:b/>
        <x:color rgb="FF2E7D32"/>
      </x:font>
      <x:fill>
        <x:patternFill patternType="solid">
          <x:bgColor rgb="FFE8F3E8"/>
        </x:patternFill>
      </x:fill>
    </x:dxf>
    <x:dxf>
      <x:font>
        <x:b/>
        <x:color rgb="FFC039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3e2ac00d5a4614" /><Relationship Type="http://schemas.openxmlformats.org/officeDocument/2006/relationships/theme" Target="/xl/theme/theme1.xml" Id="R99e54d9344bd4ab8" /><Relationship Type="http://schemas.openxmlformats.org/officeDocument/2006/relationships/sharedStrings" Target="/xl/sharedStrings.xml" Id="Ree61e80e68ba4bde" /><Relationship Type="http://schemas.openxmlformats.org/officeDocument/2006/relationships/worksheet" Target="/xl/worksheets/sheet1.xml" Id="R2b591e035d594ca8" /><Relationship Type="http://schemas.openxmlformats.org/officeDocument/2006/relationships/worksheet" Target="/xl/worksheets/sheet2.xml" Id="R759d57e9f60145b5" /><Relationship Type="http://schemas.openxmlformats.org/officeDocument/2006/relationships/worksheet" Target="/xl/worksheets/sheet3.xml" Id="R018641cfea7c4e19" /><Relationship Type="http://schemas.openxmlformats.org/officeDocument/2006/relationships/worksheet" Target="/xl/worksheets/sheet4.xml" Id="Rfa36b8f9586a454d" /><Relationship Type="http://schemas.openxmlformats.org/officeDocument/2006/relationships/worksheet" Target="/xl/worksheets/sheet5.xml" Id="R204f4a93790a45ae" /><Relationship Type="http://schemas.openxmlformats.org/officeDocument/2006/relationships/worksheet" Target="/xl/worksheets/sheet6.xml" Id="R85fe081a7ec74e17" /><Relationship Type="http://schemas.openxmlformats.org/officeDocument/2006/relationships/worksheet" Target="/xl/worksheets/sheet7.xml" Id="Rbbe3c2b54ee54ac7" /><Relationship Type="http://schemas.openxmlformats.org/officeDocument/2006/relationships/worksheet" Target="/xl/worksheets/sheet8.xml" Id="R5e8f4aeec10d4afc" /><Relationship Type="http://schemas.microsoft.com/office/2017/10/relationships/person" Target="/xl/persons/person.xml" Id="R9fbcae46a7bd40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30c3a9391c249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4518cc8b0964ae5" /><Relationship Type="http://schemas.openxmlformats.org/officeDocument/2006/relationships/chart" Target="/xl/drawings/charts/chart3.xml" Id="Rebd3c28e70154582" /><Relationship Type="http://schemas.openxmlformats.org/officeDocument/2006/relationships/chart" Target="/xl/drawings/charts/chart4.xml" Id="Rccb5e8b3dde445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Структура CAPEX пилота</a:t>
            </a:r>
          </a:p>
        </c:rich>
      </c:tx>
      <c:overlay val="0"/>
    </c:title>
    <c:plotArea>
      <c:doughnutChart>
        <c:ser>
          <c:idx val="0"/>
          <c:order val="0"/>
          <c:tx>
            <c:v>млн руб.</c:v>
          </c:tx>
          <c:cat>
            <c:strRef>
              <c:f>'TCO (Проект 1)'!$J$14:$J$17</c:f>
              <c:strCache>
                <c:ptCount val="0"/>
              </c:strCache>
            </c:strRef>
          </c:cat>
          <c:val>
            <c:numRef>
              <c:f>'TCO (Проект 1)'!$K$14:$K$17</c:f>
              <c:numCache>
                <c:formatCode>0.00 "млн ₽";[Red](0.00 "млн ₽");-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Окупаемость не достигается в горизонте 5 лет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Без дисконтирования</c:v>
          </c:tx>
          <c:marker>
            <c:symbol val="none"/>
          </c:marker>
          <c:cat>
            <c:strRef>
              <c:f>'Инвест. итоги'!$A$13:$A$18</c:f>
              <c:strCache>
                <c:ptCount val="0"/>
              </c:strCache>
            </c:strRef>
          </c:cat>
          <c:val>
            <c:numRef>
              <c:f>'Инвест. итоги'!$B$13:$B$18</c:f>
              <c:numCache>
                <c:formatCode>0.00 "млн ₽";[Red](0.00 "млн ₽");-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С дисконтированием</c:v>
          </c:tx>
          <c:marker>
            <c:symbol val="none"/>
          </c:marker>
          <c:cat>
            <c:strRef>
              <c:f>'Инвест. итоги'!$A$13:$A$18</c:f>
              <c:strCache>
                <c:ptCount val="0"/>
              </c:strCache>
            </c:strRef>
          </c:cat>
          <c:val>
            <c:numRef>
              <c:f>'Инвест. итоги'!$C$13:$C$18</c:f>
              <c:numCache>
                <c:formatCode>0.00 "млн ₽";[Red](0.00 "млн ₽");-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 &quot;млн 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Эффект разделен по типам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млн руб./год</c:v>
          </c:tx>
          <c:cat>
            <c:strRef>
              <c:f>'Инвест. итоги'!$I$13:$I$14</c:f>
              <c:strCache>
                <c:ptCount val="0"/>
              </c:strCache>
            </c:strRef>
          </c:cat>
          <c:val>
            <c:numRef>
              <c:f>'Инвест. итоги'!$J$13:$J$14</c:f>
              <c:numCache>
                <c:formatCode>0.00 "млн ₽";[Red](0.00 "млн ₽");-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 &quot;млн ₽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Бюджет промышленного сценария не является бюджетом пилота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CAPEX</c:v>
          </c:tx>
          <c:cat>
            <c:strRef>
              <c:f>'Инвест. итоги'!$I$32:$I$33</c:f>
              <c:strCache>
                <c:ptCount val="0"/>
              </c:strCache>
            </c:strRef>
          </c:cat>
          <c:val>
            <c:numRef>
              <c:f>'Инвест. итоги'!$J$32:$J$33</c:f>
              <c:numCache>
                <c:formatCode>0.00 "млн ₽";[Red](0.00 "млн ₽");-</c:formatCode>
                <c:ptCount val="0"/>
              </c:numCache>
            </c:numRef>
          </c:val>
        </c:ser>
        <c:ser>
          <c:idx val="1"/>
          <c:order val="1"/>
          <c:tx>
            <c:v>TCO 5 лет</c:v>
          </c:tx>
          <c:cat>
            <c:strRef>
              <c:f>'Инвест. итоги'!$I$32:$I$33</c:f>
              <c:strCache>
                <c:ptCount val="0"/>
              </c:strCache>
            </c:strRef>
          </c:cat>
          <c:val>
            <c:numRef>
              <c:f>'Инвест. итоги'!$K$32:$K$33</c:f>
              <c:numCache>
                <c:formatCode>0.00 "млн ₽";[Red](0.00 "млн ₽");-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 &quot;млн ₽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0c3a9391c249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518cc8b0964ae5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d3c28e70154582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b5e8b3dde44595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79899752-4520-4258-916A-EA6D33920ED0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7" dT="2026-08-11T12:14:39.356" personId="{79899752-4520-4258-916A-EA6D33920ED0}" id="{67F1CC06-B94A-E95F-DFF9-AF1E05A72178}">
    <xltc:text>Источник: Банк России. Ключевая ставка 14,00% годовых с 27.07.2026. Проверено 11.08.2026.</xltc:text>
  </xltc:threadedComment>
  <xltc:threadedComment ref="C8" dT="2026-08-11T12:14:39.361" personId="{79899752-4520-4258-916A-EA6D33920ED0}" id="{94857961-1B8F-94E5-3405-1604FBC8E8E6}">
    <xltc:text>Источник: условие расчета от заказчика — ключевая ставка Банка России плюс 1,5 процентного пункта.</xltc:text>
  </xltc:threadedComment>
  <xltc:threadedComment ref="C10" dT="2026-08-11T12:14:39.361" personId="{79899752-4520-4258-916A-EA6D33920ED0}" id="{2A92B976-69CE-72FC-BE4F-D99980B6C759}">
    <xltc:text>Источник: лекция по экономике IT Camp, слайд 20 — горизонт оценки эффектов ИТ/ЦТ ограничен пятью годами после ввода.</xltc:text>
  </xltc:threadedComment>
  <xltc:threadedComment ref="C16" dT="2026-08-11T12:14:39.361" personId="{79899752-4520-4258-916A-EA6D33920ED0}" id="{6D335592-0A34-D511-62CB-1F1EB4DEE5C4}">
    <xltc:text>Источник: условие расчета — ставка поддержки/оператора 2 000 руб./час.</xltc:text>
  </xltc:threadedComment>
  <xltc:threadedComment ref="C17" dT="2026-08-11T12:14:39.361" personId="{79899752-4520-4258-916A-EA6D33920ED0}" id="{599438CB-4008-21E1-5243-06470031FD68}">
    <xltc:text>Источник: условие расчета — ставка участника проектной команды 3 500 руб./час.</xltc:text>
  </xltc:threadedComment>
  <xltc:threadedComment ref="C23" dT="2026-08-11T12:14:39.361" personId="{79899752-4520-4258-916A-EA6D33920ED0}" id="{63C7697C-0568-A3DC-C043-3063E5944DD7}">
    <xltc:text>Источник: кейс IT Camp — два сервера NVIDIA A30 увеличивают бюджет на 400 тыс. руб.</xltc:text>
  </xltc:threadedComment>
  <xltc:threadedComment ref="C36" dT="2026-08-11T12:14:39.361" personId="{79899752-4520-4258-916A-EA6D33920ED0}" id="{2A398D41-E3F2-5053-0E00-C881BCB93EE5}">
    <xltc:text>Источник: кейс IT Camp — ручная обработка оповещений L1 составляет 48 человеко-часов в сутки.</xltc:text>
  </xltc:threadedComment>
  <xltc:threadedComment ref="C37" dT="2026-08-11T12:14:39.361" personId="{79899752-4520-4258-916A-EA6D33920ED0}" id="{4DAFB7D5-C19F-A46E-9F05-C0312AA58A38}">
    <xltc:text>Источник: кейс IT Camp — цель NOC: сокращение ручной фильтрации на 60%.</xltc:text>
  </xltc:threadedComment>
  <xltc:threadedComment ref="C42" dT="2026-08-11T12:14:39.361" personId="{79899752-4520-4258-916A-EA6D33920ED0}" id="{E873B292-DF0D-8E86-67A5-EE7F74353CEB}">
    <xltc:text>Источник: кейс IT Camp — экономия ФОТ поддержки 1,1 млн руб. в квартал.</xltc:text>
  </xltc:threadedComment>
  <xltc:threadedComment ref="C50" dT="2026-08-11T12:14:39.361" personId="{79899752-4520-4258-916A-EA6D33920ED0}" id="{5C4287E6-3E4C-F35E-4A13-832E592B4D10}">
    <xltc:text>Источник: кейс IT Camp — ущерб от одного критического инцидента порядка 3,2 млн руб.</xltc:text>
  </xltc:threadedComment>
  <xltc:threadedComment ref="C63" dT="2026-08-11T12:14:39.361" personId="{79899752-4520-4258-916A-EA6D33920ED0}" id="{A7B26872-818C-CF41-DE5F-F3DABDC27196}">
    <xltc:text>Источник: кейс IT Camp — 65% уведомлений закрываются инженерами без реакции в первые две минуты.</xltc:text>
  </xltc:threadedComment>
  <xltc:threadedComment ref="C69" dT="2026-08-11T12:14:39.361" personId="{79899752-4520-4258-916A-EA6D33920ED0}" id="{3D431B99-4F9D-3C6F-1776-C00CED79CF7E}">
    <xltc:text>Источник: ориентир заказчика 130–150 млн руб. используется только для отдельного сценария промышленного тиражирования.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404484c0fde4e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9b3c112edaa44783" /><Relationship Type="http://schemas.openxmlformats.org/officeDocument/2006/relationships/vmlDrawing" Target="/xl/drawings/vmldrawing.vml" Id="R84abb24691794054" /><Relationship Type="http://schemas.microsoft.com/office/2017/10/relationships/threadedComment" Target="/xl/threadedcomments/threadedcomment.xml" Id="Rdd4344e4182a4b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b9ee2e79a6c1498f" /></Relationships>
</file>

<file path=xl/worksheets/sheet1.xml><?xml version="1.0" encoding="utf-8"?>
<x:worksheet xmlns:x="http://schemas.openxmlformats.org/spreadsheetml/2006/main">
  <x:sheetPr>
    <x:tabColor theme="8" tint="0.59999"/>
  </x:sheetPr>
  <x:sheetViews>
    <x:sheetView showGridLines="0" workbookViewId="0"/>
  </x:sheetViews>
  <x:sheetFormatPr defaultRowHeight="14.5"/>
  <x:cols>
    <x:col min="1" max="1" width="25" hidden="0" customWidth="1"/>
    <x:col min="2" max="2" width="19" hidden="0" customWidth="1"/>
    <x:col min="3" max="3" width="12" hidden="0" customWidth="1"/>
    <x:col min="4" max="4" width="25" hidden="0" customWidth="1"/>
    <x:col min="5" max="5" width="25" hidden="0" customWidth="1"/>
    <x:col min="6" max="6" width="4" hidden="0" customWidth="1"/>
    <x:col min="7" max="7" width="16" hidden="0" customWidth="1"/>
    <x:col min="8" max="8" width="16" hidden="0" customWidth="1"/>
    <x:col min="11" max="11" width="16" hidden="0" customWidth="1"/>
    <x:col min="9" max="9" width="16" hidden="0" customWidth="1"/>
    <x:col min="10" max="10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hidden="0" customHeight="1">
      <x:c r="A1" s="1174" t="str">
        <x:v>ЭКОНОМИЧЕСКОЕ РЕЗЮМЕ ПРОЕКТА</x:v>
      </x:c>
      <x:c r="B1" s="1174" t="str">
        <x:v>ЭКОНОМИЧЕСКОЕ РЕЗЮМЕ ПРОЕКТА</x:v>
      </x:c>
      <x:c r="C1" s="1174" t="str">
        <x:v>ЭКОНОМИЧЕСКОЕ РЕЗЮМЕ ПРОЕКТА</x:v>
      </x:c>
      <x:c r="D1" s="1174" t="str">
        <x:v>ЭКОНОМИЧЕСКОЕ РЕЗЮМЕ ПРОЕКТА</x:v>
      </x:c>
      <x:c r="E1" s="1174" t="str">
        <x:v>ЭКОНОМИЧЕСКОЕ РЕЗЮМЕ ПРОЕКТА</x:v>
      </x:c>
      <x:c r="F1" s="1174" t="str">
        <x:v>ЭКОНОМИЧЕСКОЕ РЕЗЮМЕ ПРОЕКТА</x:v>
      </x:c>
      <x:c r="G1" s="1174" t="str">
        <x:v>ЭКОНОМИЧЕСКОЕ РЕЗЮМЕ ПРОЕКТА</x:v>
      </x:c>
      <x:c r="H1" s="1174" t="str">
        <x:v>ЭКОНОМИЧЕСКОЕ РЕЗЮМЕ ПРОЕКТА</x:v>
      </x:c>
      <x:c r="I1" s="1174" t="str">
        <x:v>ЭКОНОМИЧЕСКОЕ РЕЗЮМЕ ПРОЕКТА</x:v>
      </x:c>
      <x:c r="J1" s="1174" t="str">
        <x:v>ЭКОНОМИЧЕСКОЕ РЕЗЮМЕ ПРОЕКТА</x:v>
      </x:c>
      <x:c r="K1" s="1174" t="str">
        <x:v>ЭКОНОМИЧЕСКОЕ РЕЗЮМЕ ПРОЕКТА</x:v>
      </x:c>
      <x:c r="L1" s="1174" t="str">
        <x:v>ЭКОНОМИЧЕСКОЕ РЕЗЮМЕ ПРОЕКТА</x:v>
      </x:c>
      <x:c r="M1" s="1174" t="str">
        <x:v>ЭКОНОМИЧЕСКОЕ РЕЗЮМЕ ПРОЕКТА</x:v>
      </x:c>
      <x:c r="N1" s="1174" t="str">
        <x:v>ЭКОНОМИЧЕСКОЕ РЕЗЮМЕ ПРОЕКТА</x:v>
      </x:c>
    </x:row>
    <x:row r="2" ht="34" hidden="0" customHeight="1">
      <x:c r="A2" s="1174" t="str">
        <x:v>ЭКОНОМИЧЕСКОЕ РЕЗЮМЕ ПРОЕКТА</x:v>
      </x:c>
      <x:c r="B2" s="1174" t="str">
        <x:v>ЭКОНОМИЧЕСКОЕ РЕЗЮМЕ ПРОЕКТА</x:v>
      </x:c>
      <x:c r="C2" s="1174" t="str">
        <x:v>ЭКОНОМИЧЕСКОЕ РЕЗЮМЕ ПРОЕКТА</x:v>
      </x:c>
      <x:c r="D2" s="1174" t="str">
        <x:v>ЭКОНОМИЧЕСКОЕ РЕЗЮМЕ ПРОЕКТА</x:v>
      </x:c>
      <x:c r="E2" s="1174" t="str">
        <x:v>ЭКОНОМИЧЕСКОЕ РЕЗЮМЕ ПРОЕКТА</x:v>
      </x:c>
      <x:c r="F2" s="1174" t="str">
        <x:v>ЭКОНОМИЧЕСКОЕ РЕЗЮМЕ ПРОЕКТА</x:v>
      </x:c>
      <x:c r="G2" s="1174" t="str">
        <x:v>ЭКОНОМИЧЕСКОЕ РЕЗЮМЕ ПРОЕКТА</x:v>
      </x:c>
      <x:c r="H2" s="1174" t="str">
        <x:v>ЭКОНОМИЧЕСКОЕ РЕЗЮМЕ ПРОЕКТА</x:v>
      </x:c>
      <x:c r="I2" s="1174" t="str">
        <x:v>ЭКОНОМИЧЕСКОЕ РЕЗЮМЕ ПРОЕКТА</x:v>
      </x:c>
      <x:c r="J2" s="1174" t="str">
        <x:v>ЭКОНОМИЧЕСКОЕ РЕЗЮМЕ ПРОЕКТА</x:v>
      </x:c>
      <x:c r="K2" s="1174" t="str">
        <x:v>ЭКОНОМИЧЕСКОЕ РЕЗЮМЕ ПРОЕКТА</x:v>
      </x:c>
      <x:c r="L2" s="1174" t="str">
        <x:v>ЭКОНОМИЧЕСКОЕ РЕЗЮМЕ ПРОЕКТА</x:v>
      </x:c>
      <x:c r="M2" s="1174" t="str">
        <x:v>ЭКОНОМИЧЕСКОЕ РЕЗЮМЕ ПРОЕКТА</x:v>
      </x:c>
      <x:c r="N2" s="1174" t="str">
        <x:v>ЭКОНОМИЧЕСКОЕ РЕЗЮМЕ ПРОЕКТА</x:v>
      </x:c>
    </x:row>
    <x:row r="3" ht="28" hidden="0" customHeight="1">
      <x:c r="A3" s="1178" t="str">
        <x:v>Пилот для 4 филиалов и 87 пользователей. Модель разделяет прямой NPV, косвенный UMV и экспертный DMV.</x:v>
      </x:c>
      <x:c r="B3" s="1178" t="str">
        <x:v>Пилот для 4 филиалов и 87 пользователей. Модель разделяет прямой NPV, косвенный UMV и экспертный DMV.</x:v>
      </x:c>
      <x:c r="C3" s="1178" t="str">
        <x:v>Пилот для 4 филиалов и 87 пользователей. Модель разделяет прямой NPV, косвенный UMV и экспертный DMV.</x:v>
      </x:c>
      <x:c r="D3" s="1178" t="str">
        <x:v>Пилот для 4 филиалов и 87 пользователей. Модель разделяет прямой NPV, косвенный UMV и экспертный DMV.</x:v>
      </x:c>
      <x:c r="E3" s="1178" t="str">
        <x:v>Пилот для 4 филиалов и 87 пользователей. Модель разделяет прямой NPV, косвенный UMV и экспертный DMV.</x:v>
      </x:c>
      <x:c r="F3" s="1178" t="str">
        <x:v>Пилот для 4 филиалов и 87 пользователей. Модель разделяет прямой NPV, косвенный UMV и экспертный DMV.</x:v>
      </x:c>
      <x:c r="G3" s="1178" t="str">
        <x:v>Пилот для 4 филиалов и 87 пользователей. Модель разделяет прямой NPV, косвенный UMV и экспертный DMV.</x:v>
      </x:c>
      <x:c r="H3" s="1178" t="str">
        <x:v>Пилот для 4 филиалов и 87 пользователей. Модель разделяет прямой NPV, косвенный UMV и экспертный DMV.</x:v>
      </x:c>
      <x:c r="I3" s="1178" t="str">
        <x:v>Пилот для 4 филиалов и 87 пользователей. Модель разделяет прямой NPV, косвенный UMV и экспертный DMV.</x:v>
      </x:c>
      <x:c r="J3" s="1178" t="str">
        <x:v>Пилот для 4 филиалов и 87 пользователей. Модель разделяет прямой NPV, косвенный UMV и экспертный DMV.</x:v>
      </x:c>
      <x:c r="K3" s="1178" t="str">
        <x:v>Пилот для 4 филиалов и 87 пользователей. Модель разделяет прямой NPV, косвенный UMV и экспертный DMV.</x:v>
      </x:c>
      <x:c r="L3" s="1178" t="str">
        <x:v>Пилот для 4 филиалов и 87 пользователей. Модель разделяет прямой NPV, косвенный UMV и экспертный DMV.</x:v>
      </x:c>
      <x:c r="M3" s="1178" t="str">
        <x:v>Пилот для 4 филиалов и 87 пользователей. Модель разделяет прямой NPV, косвенный UMV и экспертный DMV.</x:v>
      </x:c>
      <x:c r="N3" s="1178" t="str">
        <x:v>Пилот для 4 филиалов и 87 пользователей. Модель разделяет прямой NPV, косвенный UMV и экспертный DMV.</x:v>
      </x:c>
    </x:row>
    <x:row r="4" ht="26.399999618530273" hidden="0" customHeight="1">
      <x:c r="A4" s="322"/>
      <x:c r="B4" s="322"/>
      <x:c r="C4" s="322"/>
      <x:c r="D4" s="322"/>
      <x:c r="E4" s="322"/>
      <x:c r="F4" s="322"/>
      <x:c r="G4" s="322"/>
      <x:c r="H4" s="322"/>
      <x:c r="I4" s="322"/>
      <x:c r="J4" s="322"/>
      <x:c r="K4" s="322"/>
      <x:c r="L4" s="322"/>
      <x:c r="M4" s="322"/>
      <x:c r="N4" s="322"/>
    </x:row>
    <x:row r="5" ht="28" hidden="0" customHeight="1">
      <x:c r="A5" s="1296" t="str">
        <x:v>Проект</x:v>
      </x:c>
      <x:c r="B5" s="1287" t="str">
        <x:v>Платформа интеллектуальной диспетчеризации оповещений</x:v>
      </x:c>
      <x:c r="C5" s="1287"/>
      <x:c r="D5" s="1299" t="str">
        <x:v>Сценарий</x:v>
      </x:c>
      <x:c r="E5" s="1287" t="str">
        <x:v>Пилот по кейсу</x:v>
      </x:c>
      <x:c r="F5" s="1288"/>
      <x:c r="G5" s="322"/>
      <x:c r="H5" s="322"/>
      <x:c r="I5" s="322"/>
      <x:c r="J5" s="322"/>
      <x:c r="K5" s="322"/>
      <x:c r="L5" s="322"/>
      <x:c r="M5" s="322"/>
      <x:c r="N5" s="322"/>
    </x:row>
    <x:row r="6" s="3" customFormat="1" ht="28" hidden="0" customHeight="1">
      <x:c r="A6" s="1297" t="str">
        <x:v>Горизонт</x:v>
      </x:c>
      <x:c r="B6" s="1711" t="str">
        <x:f>'Исходные данные'!C10&amp;" лет после ввода"</x:f>
        <x:v>5 лет после ввода</x:v>
      </x:c>
      <x:c r="C6" s="1290"/>
      <x:c r="D6" s="1300" t="str">
        <x:v>Ставка дисконтирования</x:v>
      </x:c>
      <x:c r="E6" s="1712" t="n">
        <x:f>'Исходные данные'!C9</x:f>
        <x:v>0.15500000000000003</x:v>
      </x:c>
      <x:c r="F6" s="1292"/>
      <x:c r="G6" s="322"/>
      <x:c r="H6" s="322"/>
      <x:c r="I6" s="322"/>
      <x:c r="J6" s="322"/>
      <x:c r="K6" s="322"/>
      <x:c r="L6" s="322"/>
      <x:c r="M6" s="322"/>
      <x:c r="N6" s="322"/>
    </x:row>
    <x:row r="7" ht="28" hidden="0" customHeight="1">
      <x:c r="A7" s="1297" t="str">
        <x:v>Метод</x:v>
      </x:c>
      <x:c r="B7" s="1290" t="str">
        <x:v>середина периода</x:v>
      </x:c>
      <x:c r="C7" s="1290"/>
      <x:c r="D7" s="1300" t="str">
        <x:v>Дата оценки</x:v>
      </x:c>
      <x:c r="E7" s="1290" t="str">
        <x:v>11.08.2026</x:v>
      </x:c>
      <x:c r="F7" s="1292"/>
      <x:c r="G7" s="322"/>
      <x:c r="H7" s="322"/>
      <x:c r="I7" s="322"/>
      <x:c r="J7" s="322"/>
      <x:c r="K7" s="322"/>
      <x:c r="L7" s="322"/>
      <x:c r="M7" s="322"/>
      <x:c r="N7" s="322"/>
    </x:row>
    <x:row r="8" ht="28" hidden="0" customHeight="1">
      <x:c r="A8" s="1298" t="str">
        <x:v>Масштаб</x:v>
      </x:c>
      <x:c r="B8" s="1294" t="str">
        <x:v>4 филиала / 87 пользователей</x:v>
      </x:c>
      <x:c r="C8" s="1294"/>
      <x:c r="D8" s="1301" t="str">
        <x:v>Валюта</x:v>
      </x:c>
      <x:c r="E8" s="1294" t="str">
        <x:v>млн рублей</x:v>
      </x:c>
      <x:c r="F8" s="1295"/>
      <x:c r="G8" s="322"/>
      <x:c r="H8" s="322"/>
      <x:c r="I8" s="322"/>
      <x:c r="J8" s="322"/>
      <x:c r="K8" s="322"/>
      <x:c r="L8" s="322"/>
      <x:c r="M8" s="322"/>
      <x:c r="N8" s="322"/>
    </x:row>
    <x:row r="9" ht="28" hidden="0" customHeight="1">
      <x:c r="A9" s="322"/>
      <x:c r="B9" s="322"/>
      <x:c r="C9" s="322"/>
      <x:c r="D9" s="322"/>
      <x:c r="E9" s="322"/>
      <x:c r="F9" s="322"/>
      <x:c r="G9" s="322"/>
      <x:c r="H9" s="322"/>
      <x:c r="I9" s="322"/>
      <x:c r="J9" s="322"/>
      <x:c r="K9" s="322"/>
      <x:c r="L9" s="322"/>
      <x:c r="M9" s="322"/>
      <x:c r="N9" s="322"/>
    </x:row>
    <x:row r="10" ht="28" hidden="0" customHeight="1">
      <x:c r="A10" s="1451" t="str">
        <x:v>Первоначальные инвестиции</x:v>
      </x:c>
      <x:c r="B10" s="1451" t="str">
        <x:v>Первоначальные инвестиции</x:v>
      </x:c>
      <x:c r="C10" s="1451" t="str">
        <x:v>Первоначальные инвестиции</x:v>
      </x:c>
      <x:c r="D10" s="1451" t="str">
        <x:v>TCO за 5 лет</x:v>
      </x:c>
      <x:c r="E10" s="1451" t="str">
        <x:v>TCO за 5 лет</x:v>
      </x:c>
      <x:c r="F10" s="1451" t="str">
        <x:v>TCO за 5 лет</x:v>
      </x:c>
      <x:c r="G10" s="1451" t="str">
        <x:v>Экономия ФОТ / год</x:v>
      </x:c>
      <x:c r="H10" s="1451" t="str">
        <x:v>Экономия ФОТ / год</x:v>
      </x:c>
      <x:c r="I10" s="1451" t="str">
        <x:v>Экономия ФОТ / год</x:v>
      </x:c>
      <x:c r="J10" s="1451" t="str">
        <x:v>DMV риска / год</x:v>
      </x:c>
      <x:c r="K10" s="1451" t="str">
        <x:v>DMV риска / год</x:v>
      </x:c>
      <x:c r="L10" s="1451" t="str">
        <x:v>DMV риска / год</x:v>
      </x:c>
      <x:c r="M10" s="322"/>
      <x:c r="N10" s="322"/>
    </x:row>
    <x:row r="11" ht="28" hidden="0" customHeight="1">
      <x:c r="A11" s="1713" t="n">
        <x:f>'Исходные данные'!C27</x:f>
        <x:v>21.175</x:v>
      </x:c>
      <x:c r="B11" s="1453"/>
      <x:c r="C11" s="1454"/>
      <x:c r="D11" s="1713" t="n">
        <x:f>'TCO (Проект 1)'!H21</x:f>
        <x:v>28.72500000000001</x:v>
      </x:c>
      <x:c r="E11" s="1453"/>
      <x:c r="F11" s="1454"/>
      <x:c r="G11" s="1714" t="n">
        <x:f>'Исходные данные'!C45</x:f>
        <x:v>4.4</x:v>
      </x:c>
      <x:c r="H11" s="1456"/>
      <x:c r="I11" s="1457"/>
      <x:c r="J11" s="1715" t="n">
        <x:f>'Исходные данные'!C54</x:f>
        <x:v>1.2000000000000002</x:v>
      </x:c>
      <x:c r="K11" s="1459"/>
      <x:c r="L11" s="1460"/>
      <x:c r="M11" s="322"/>
      <x:c r="N11" s="322"/>
    </x:row>
    <x:row r="12" ht="28" hidden="0" customHeight="1">
      <x:c r="A12" s="1461"/>
      <x:c r="B12" s="1462"/>
      <x:c r="C12" s="1463"/>
      <x:c r="D12" s="1461"/>
      <x:c r="E12" s="1462"/>
      <x:c r="F12" s="1463"/>
      <x:c r="G12" s="1464"/>
      <x:c r="H12" s="1465"/>
      <x:c r="I12" s="1466"/>
      <x:c r="J12" s="1467"/>
      <x:c r="K12" s="1468"/>
      <x:c r="L12" s="1469"/>
      <x:c r="M12" s="322"/>
      <x:c r="N12" s="322"/>
    </x:row>
    <x:row r="13" ht="28" hidden="0" customHeight="1">
      <x:c r="A13" s="1470"/>
      <x:c r="B13" s="1471"/>
      <x:c r="C13" s="1472"/>
      <x:c r="D13" s="1470"/>
      <x:c r="E13" s="1471"/>
      <x:c r="F13" s="1472"/>
      <x:c r="G13" s="1473"/>
      <x:c r="H13" s="1474"/>
      <x:c r="I13" s="1475"/>
      <x:c r="J13" s="1476"/>
      <x:c r="K13" s="1477"/>
      <x:c r="L13" s="1478"/>
      <x:c r="M13" s="322"/>
      <x:c r="N13" s="322"/>
    </x:row>
    <x:row r="14" ht="28" hidden="0" customHeight="1">
      <x:c r="A14" s="322"/>
      <x:c r="B14" s="322"/>
      <x:c r="C14" s="322"/>
      <x:c r="D14" s="322"/>
      <x:c r="E14" s="322"/>
      <x:c r="F14" s="322"/>
      <x:c r="G14" s="322"/>
      <x:c r="H14" s="322"/>
      <x:c r="I14" s="322"/>
      <x:c r="J14" s="322"/>
      <x:c r="K14" s="322"/>
      <x:c r="L14" s="322"/>
      <x:c r="M14" s="322"/>
      <x:c r="N14" s="322"/>
    </x:row>
    <x:row r="15" ht="28" hidden="0" customHeight="1">
      <x:c r="A15" s="322"/>
      <x:c r="B15" s="322"/>
      <x:c r="C15" s="322"/>
      <x:c r="D15" s="322"/>
      <x:c r="E15" s="322"/>
      <x:c r="F15" s="322"/>
      <x:c r="G15" s="322"/>
      <x:c r="H15" s="322"/>
      <x:c r="I15" s="322"/>
      <x:c r="J15" s="322"/>
      <x:c r="K15" s="322"/>
      <x:c r="L15" s="322"/>
      <x:c r="M15" s="322"/>
      <x:c r="N15" s="322"/>
    </x:row>
    <x:row r="16" ht="28" hidden="0" customHeight="1">
      <x:c r="A16" s="1219" t="str">
        <x:v>Инвестиционные показатели</x:v>
      </x:c>
      <x:c r="B16" s="1219" t="str">
        <x:v>Инвестиционные показатели</x:v>
      </x:c>
      <x:c r="C16" s="1219" t="str">
        <x:v>Инвестиционные показатели</x:v>
      </x:c>
      <x:c r="D16" s="1219" t="str">
        <x:v>Инвестиционные показатели</x:v>
      </x:c>
      <x:c r="E16" s="1219" t="str">
        <x:v>Инвестиционные показатели</x:v>
      </x:c>
      <x:c r="F16" s="1219" t="str">
        <x:v>Инвестиционные показатели</x:v>
      </x:c>
      <x:c r="G16" s="1219" t="str">
        <x:v>Инвестиционные показатели</x:v>
      </x:c>
      <x:c r="H16" s="1219" t="str">
        <x:v>Инвестиционные показатели</x:v>
      </x:c>
      <x:c r="I16" s="1219" t="str">
        <x:v>Инвестиционные показатели</x:v>
      </x:c>
      <x:c r="J16" s="1219" t="str">
        <x:v>Инвестиционные показатели</x:v>
      </x:c>
      <x:c r="K16" s="1219" t="str">
        <x:v>Инвестиционные показатели</x:v>
      </x:c>
      <x:c r="L16" s="1219" t="str">
        <x:v>Инвестиционные показатели</x:v>
      </x:c>
      <x:c r="M16" s="1219" t="str">
        <x:v>Инвестиционные показатели</x:v>
      </x:c>
      <x:c r="N16" s="1219" t="str">
        <x:v>Инвестиционные показатели</x:v>
      </x:c>
    </x:row>
    <x:row r="17" ht="28" hidden="0" customHeight="1">
      <x:c r="A17" s="1188" t="str">
        <x:v>Показатель</x:v>
      </x:c>
      <x:c r="B17" s="1188" t="str">
        <x:v>Значение</x:v>
      </x:c>
      <x:c r="C17" s="1188" t="str">
        <x:v>Критерий</x:v>
      </x:c>
      <x:c r="D17" s="1188" t="str">
        <x:v>Тип эффекта</x:v>
      </x:c>
      <x:c r="E17" s="1188" t="str">
        <x:v>Интерпретация</x:v>
      </x:c>
      <x:c r="F17" s="322"/>
      <x:c r="G17" s="322"/>
      <x:c r="H17" s="322"/>
      <x:c r="I17" s="322"/>
      <x:c r="J17" s="322"/>
      <x:c r="K17" s="322"/>
      <x:c r="L17" s="322"/>
      <x:c r="M17" s="322"/>
      <x:c r="N17" s="322"/>
    </x:row>
    <x:row r="18" ht="28" hidden="0" customHeight="1">
      <x:c r="A18" s="1220" t="str">
        <x:v>PVI</x:v>
      </x:c>
      <x:c r="B18" s="1716" t="n">
        <x:f>SUMPRODUCT(('Расчет эффектов'!B24:G24+'Расчет эффектов'!B25:G25),'Расчет эффектов'!B33:G33)</x:f>
        <x:v>24.357661950017</x:v>
      </x:c>
      <x:c r="C18" s="1220" t="str">
        <x:v>—</x:v>
      </x:c>
      <x:c r="D18" s="1220" t="str">
        <x:v>Затраты</x:v>
      </x:c>
      <x:c r="E18" s="1220" t="str">
        <x:v>Приведенная стоимость CAPEX и OPEX</x:v>
      </x:c>
      <x:c r="F18" s="322"/>
      <x:c r="G18" s="322"/>
      <x:c r="H18" s="322"/>
      <x:c r="I18" s="322"/>
      <x:c r="J18" s="322"/>
      <x:c r="K18" s="322"/>
      <x:c r="L18" s="322"/>
      <x:c r="M18" s="322"/>
      <x:c r="N18" s="322"/>
    </x:row>
    <x:row r="19" ht="28" hidden="0" customHeight="1">
      <x:c r="A19" s="1269" t="str">
        <x:v>NPV</x:v>
      </x:c>
      <x:c r="B19" s="1717" t="n">
        <x:f>SUM('Расчет эффектов'!B34:G34)</x:f>
        <x:v>-24.357661950017</x:v>
      </x:c>
      <x:c r="C19" s="1269" t="str">
        <x:v>&gt; 0</x:v>
      </x:c>
      <x:c r="D19" s="1269" t="str">
        <x:v>Прямой</x:v>
      </x:c>
      <x:c r="E19" s="1269" t="str">
        <x:v>Прямой денежный эффект не подтвержден</x:v>
      </x:c>
      <x:c r="F19" s="322"/>
      <x:c r="G19" s="322"/>
      <x:c r="H19" s="322"/>
      <x:c r="I19" s="322"/>
      <x:c r="J19" s="322"/>
      <x:c r="K19" s="322"/>
      <x:c r="L19" s="322"/>
      <x:c r="M19" s="322"/>
      <x:c r="N19" s="322"/>
    </x:row>
    <x:row r="20" s="6" customFormat="1" ht="28" hidden="0" customHeight="1">
      <x:c r="A20" s="1269" t="str">
        <x:v>PI</x:v>
      </x:c>
      <x:c r="B20" s="1718" t="n">
        <x:f>SUMPRODUCT('Расчет эффектов'!B26:G26,'Расчет эффектов'!B33:G33)/B18</x:f>
        <x:v>0</x:v>
      </x:c>
      <x:c r="C20" s="1269" t="str">
        <x:f t="shared" ref="C20:E20" si="0">C19*C28</x:f>
        <x:v>&gt; 1</x:v>
      </x:c>
      <x:c r="D20" s="1269" t="str">
        <x:f t="shared" si="0"/>
        <x:v>Прямой</x:v>
      </x:c>
      <x:c r="E20" s="1269" t="str">
        <x:f t="shared" si="0"/>
        <x:v>Индекс прямого денежного эффекта</x:v>
      </x:c>
      <x:c r="F20" s="322">
        <x:f t="shared" ref="F20" si="1">F19*F28</x:f>
      </x:c>
      <x:c r="G20" s="322">
        <x:f t="shared" ref="G20" si="2">G19*G28</x:f>
      </x:c>
      <x:c r="H20" s="322"/>
      <x:c r="I20" s="322"/>
      <x:c r="J20" s="322"/>
      <x:c r="K20" s="322"/>
      <x:c r="L20" s="322"/>
      <x:c r="M20" s="322"/>
      <x:c r="N20" s="322"/>
    </x:row>
    <x:row r="21" ht="28" hidden="0" customHeight="1">
      <x:c r="A21" s="1262" t="str">
        <x:v>UMV</x:v>
      </x:c>
      <x:c r="B21" s="1719" t="n">
        <x:f>SUM('Расчет эффектов'!B35:G35)</x:f>
        <x:v>-13.180569826109014</x:v>
      </x:c>
      <x:c r="C21" s="1262" t="str">
        <x:v>&gt; 0</x:v>
      </x:c>
      <x:c r="D21" s="1262" t="str">
        <x:v>Косвенный</x:v>
      </x:c>
      <x:c r="E21" s="1262" t="str">
        <x:v>Учитывает экономию ФОТ из кейса</x:v>
      </x:c>
      <x:c r="F21" s="322"/>
      <x:c r="G21" s="322"/>
      <x:c r="H21" s="322"/>
      <x:c r="I21" s="322"/>
      <x:c r="J21" s="322"/>
      <x:c r="K21" s="322"/>
      <x:c r="L21" s="322"/>
      <x:c r="M21" s="322"/>
      <x:c r="N21" s="322"/>
    </x:row>
    <x:row r="22" ht="28" hidden="0" customHeight="1">
      <x:c r="A22" s="1262" t="str">
        <x:v>J (UMV)</x:v>
      </x:c>
      <x:c r="B22" s="1720" t="n">
        <x:f>SUMPRODUCT(('Расчет эффектов'!B26:G26+'Расчет эффектов'!B27:G27),'Расчет эффектов'!B33:G33)/B18</x:f>
        <x:v>0.4588737682148587</x:v>
      </x:c>
      <x:c r="C22" s="1262" t="str">
        <x:v>&gt; 1</x:v>
      </x:c>
      <x:c r="D22" s="1262" t="str">
        <x:v>Косвенный</x:v>
      </x:c>
      <x:c r="E22" s="1262" t="str">
        <x:v>Индекс с учетом экономии ФОТ</x:v>
      </x:c>
      <x:c r="F22" s="322"/>
      <x:c r="G22" s="322"/>
      <x:c r="H22" s="322"/>
      <x:c r="I22" s="322"/>
      <x:c r="J22" s="322"/>
      <x:c r="K22" s="322"/>
      <x:c r="L22" s="322"/>
      <x:c r="M22" s="322"/>
      <x:c r="N22" s="322"/>
    </x:row>
    <x:row r="23" ht="28" hidden="0" customHeight="1">
      <x:c r="A23" s="1251" t="str">
        <x:v>DMV</x:v>
      </x:c>
      <x:c r="B23" s="1721" t="n">
        <x:f>SUM('Расчет эффектов'!B36:G36)</x:f>
        <x:v>-10.132271974134115</x:v>
      </x:c>
      <x:c r="C23" s="1251" t="str">
        <x:v>&gt; 0</x:v>
      </x:c>
      <x:c r="D23" s="1251" t="str">
        <x:v>Трудноизмеримый</x:v>
      </x:c>
      <x:c r="E23" s="1251" t="str">
        <x:v>Учитывает UMV и экспертный риск-эффект</x:v>
      </x:c>
      <x:c r="F23" s="322"/>
      <x:c r="G23" s="322"/>
      <x:c r="H23" s="322"/>
      <x:c r="I23" s="322"/>
      <x:c r="J23" s="322"/>
      <x:c r="K23" s="322"/>
      <x:c r="L23" s="322"/>
      <x:c r="M23" s="322"/>
      <x:c r="N23" s="322"/>
    </x:row>
    <x:row r="24" ht="28" hidden="0" customHeight="1">
      <x:c r="A24" s="1251" t="str">
        <x:v>J (DMV)</x:v>
      </x:c>
      <x:c r="B24" s="1721" t="n">
        <x:f>SUMPRODUCT('Расчет эффектов'!B29:G29,'Расчет эффектов'!B33:G33)/B18</x:f>
        <x:v>0.5840211595461837</x:v>
      </x:c>
      <x:c r="C24" s="1251" t="str">
        <x:v>&gt; 1</x:v>
      </x:c>
      <x:c r="D24" s="1251" t="str">
        <x:v>Ожидаемый индекс</x:v>
      </x:c>
      <x:c r="E24" s="1251" t="str">
        <x:v>Сколько PV эффекта на 1 рубль PV затрат</x:v>
      </x:c>
      <x:c r="F24" s="322"/>
      <x:c r="G24" s="322"/>
      <x:c r="H24" s="322"/>
      <x:c r="I24" s="322"/>
      <x:c r="J24" s="322"/>
      <x:c r="K24" s="322"/>
      <x:c r="L24" s="322"/>
      <x:c r="M24" s="322"/>
      <x:c r="N24" s="322"/>
    </x:row>
    <x:row r="25" ht="28" hidden="0" customHeight="1">
      <x:c r="A25" s="1222" t="str">
        <x:v>DPP (DMV)</x:v>
      </x:c>
      <x:c r="B25" s="1722" t="str">
        <x:f>IF(MAX('Расчет эффектов'!B38:G38)&lt;0,"&gt;5 лет","≤5 лет")</x:f>
        <x:v>&gt;5 лет</x:v>
      </x:c>
      <x:c r="C25" s="1222" t="str">
        <x:v>≤ 5 лет</x:v>
      </x:c>
      <x:c r="D25" s="1222" t="str">
        <x:v>Дисконтированный</x:v>
      </x:c>
      <x:c r="E25" s="1222" t="str">
        <x:v>Период окупаемости в горизонте модели</x:v>
      </x:c>
      <x:c r="F25" s="322"/>
      <x:c r="G25" s="322"/>
      <x:c r="H25" s="322"/>
      <x:c r="I25" s="322"/>
      <x:c r="J25" s="322"/>
      <x:c r="K25" s="322"/>
      <x:c r="L25" s="322"/>
      <x:c r="M25" s="322"/>
      <x:c r="N25" s="322"/>
    </x:row>
    <x:row r="26" ht="28" hidden="0" customHeight="1">
      <x:c r="A26" s="1222" t="str">
        <x:v>IRR</x:v>
      </x:c>
      <x:c r="B26" s="1222" t="str">
        <x:v>нет в горизонте</x:v>
      </x:c>
      <x:c r="C26" s="1222" t="str">
        <x:v>&gt; ставки дисконтирования</x:v>
      </x:c>
      <x:c r="D26" s="1222" t="str">
        <x:f t="shared" ref="D26:G26" si="3">SUM(D23:D25)</x:f>
        <x:v>Ожидаемый</x:v>
      </x:c>
      <x:c r="E26" s="1222" t="str">
        <x:f t="shared" si="3"/>
        <x:v>Совокупный поток за 5 лет отрицательный</x:v>
      </x:c>
      <x:c r="F26" s="322">
        <x:f t="shared" si="3"/>
      </x:c>
      <x:c r="G26" s="322">
        <x:f t="shared" si="3"/>
      </x:c>
      <x:c r="H26" s="322"/>
      <x:c r="I26" s="322"/>
      <x:c r="J26" s="322"/>
      <x:c r="K26" s="322"/>
      <x:c r="L26" s="322"/>
      <x:c r="M26" s="322"/>
      <x:c r="N26" s="322"/>
    </x:row>
    <x:row r="27" ht="28" hidden="0" customHeight="1">
      <x:c r="A27" s="322"/>
      <x:c r="B27" s="322"/>
      <x:c r="C27" s="322"/>
      <x:c r="D27" s="322"/>
      <x:c r="E27" s="322"/>
      <x:c r="F27" s="322"/>
      <x:c r="G27" s="322"/>
      <x:c r="H27" s="322"/>
      <x:c r="I27" s="322"/>
      <x:c r="J27" s="322"/>
      <x:c r="K27" s="322"/>
      <x:c r="L27" s="322"/>
      <x:c r="M27" s="322"/>
      <x:c r="N27" s="322"/>
    </x:row>
    <x:row r="28" ht="28" hidden="0" customHeight="1">
      <x:c r="A28" s="1219" t="str">
        <x:v>Вывод для инвестиционного решения</x:v>
      </x:c>
      <x:c r="B28" s="1219" t="str">
        <x:v>Вывод для инвестиционного решения</x:v>
      </x:c>
      <x:c r="C28" s="1219" t="str">
        <x:f t="shared" ref="C28:G28" si="4">1/(1+C13)^C15</x:f>
        <x:v>Вывод для инвестиционного решения</x:v>
      </x:c>
      <x:c r="D28" s="1219" t="str">
        <x:f t="shared" si="4"/>
        <x:v>Вывод для инвестиционного решения</x:v>
      </x:c>
      <x:c r="E28" s="1219" t="str">
        <x:f t="shared" si="4"/>
        <x:v>Вывод для инвестиционного решения</x:v>
      </x:c>
      <x:c r="F28" s="1219" t="str">
        <x:v>Вывод для инвестиционного решения</x:v>
      </x:c>
      <x:c r="G28" s="1219" t="str">
        <x:f t="shared" si="4"/>
        <x:v>Вывод для инвестиционного решения</x:v>
      </x:c>
      <x:c r="H28" s="1219" t="str">
        <x:v>Вывод для инвестиционного решения</x:v>
      </x:c>
      <x:c r="I28" s="1219" t="str">
        <x:v>Вывод для инвестиционного решения</x:v>
      </x:c>
      <x:c r="J28" s="1219" t="str">
        <x:v>Вывод для инвестиционного решения</x:v>
      </x:c>
      <x:c r="K28" s="1219" t="str">
        <x:v>Вывод для инвестиционного решения</x:v>
      </x:c>
      <x:c r="L28" s="1219" t="str">
        <x:v>Вывод для инвестиционного решения</x:v>
      </x:c>
      <x:c r="M28" s="1219" t="str">
        <x:v>Вывод для инвестиционного решения</x:v>
      </x:c>
      <x:c r="N28" s="1219" t="str">
        <x:v>Вывод для инвестиционного решения</x:v>
      </x:c>
    </x:row>
    <x:row r="29" ht="28" hidden="0" customHeight="1">
      <x:c r="A29" s="1442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B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C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D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E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F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G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H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I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J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K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L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M29" s="1443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N29" s="1444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</x:row>
    <x:row r="30" ht="28" hidden="0" customHeight="1">
      <x:c r="A30" s="1445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B30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C30" s="1446" t="str">
        <x:f t="shared" ref="C30:G30" si="5">-C19+C26</x:f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D30" s="1446" t="str">
        <x:f t="shared" si="5"/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E30" s="1446" t="str">
        <x:f t="shared" si="5"/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F30" s="1446" t="str">
        <x:f t="shared" si="5"/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G30" s="1446" t="str">
        <x:f t="shared" si="5"/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H30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I30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J30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K30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L30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M30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N30" s="1447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</x:row>
    <x:row r="31" ht="28" hidden="0" customHeight="1">
      <x:c r="A31" s="1445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B31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C31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D31" s="1446" t="str">
        <x:f t="shared" ref="D31:E31" si="6">-D18+D26</x:f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E31" s="1446" t="str">
        <x:f t="shared" si="6"/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F31" s="1446" t="str">
        <x:f t="shared" ref="F31:G31" si="7">-F18+F26</x:f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G31" s="1446" t="str">
        <x:f t="shared" si="7"/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H31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I31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J31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K31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L31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M31" s="1446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N31" s="1447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</x:row>
    <x:row r="32" s="6" customFormat="1" ht="28" hidden="0" customHeight="1">
      <x:c r="A32" s="1448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B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C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D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E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F32" s="1449" t="str">
        <x:f t="shared" ref="F32:G32" si="8">E32+F31</x:f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G32" s="1449" t="str">
        <x:f t="shared" si="8"/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H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I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J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K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L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M32" s="1449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  <x:c r="N32" s="1450" t="str">
        <x:v>В пределах пятилетнего горизонта пилот не окупается ни по консервативному UMV-сценарию, ни по ожидаемому DMV-сценарию. Это корректный результат при использовании целевой экономии ФОТ 4,4 млн руб./год из кейса вместо завышенной оценки 21,024 млн руб./год. Для положительного решения требуется подтвердить прямое сокращение затрат, статистику критических инцидентов или снизить бюджет и сервисную стоимость пилота.</x:v>
      </x:c>
    </x:row>
    <x:row r="33" ht="14.5" hidden="0" customHeight="1">
      <x:c r="A33"/>
      <x:c r="B33"/>
      <x:c r="C33">
        <x:f t="shared" ref="C33:G33" si="9">C19*C28</x:f>
      </x:c>
      <x:c r="D33">
        <x:f t="shared" si="9"/>
      </x:c>
      <x:c r="E33">
        <x:f t="shared" si="9"/>
      </x:c>
      <x:c r="F33">
        <x:f t="shared" si="9"/>
      </x:c>
      <x:c r="G33">
        <x:f t="shared" si="9"/>
      </x:c>
      <x:c r="H33"/>
    </x:row>
    <x:row r="34" ht="14.5" hidden="0" customHeight="1">
      <x:c r="A34"/>
      <x:c r="B34"/>
      <x:c r="C34"/>
      <x:c r="D34">
        <x:f t="shared" ref="D34:G34" si="10">D30*D28</x:f>
      </x:c>
      <x:c r="E34">
        <x:f t="shared" si="10"/>
      </x:c>
      <x:c r="F34"/>
      <x:c r="G34">
        <x:f t="shared" si="10"/>
      </x:c>
      <x:c r="H34"/>
    </x:row>
    <x:row r="35" ht="14.5" hidden="1" customHeight="1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</x:row>
    <x:row r="36" ht="14.5" hidden="0" customHeight="1">
      <x:c r="A36"/>
      <x:c r="B36"/>
      <x:c r="C36"/>
      <x:c r="D36">
        <x:f t="shared" ref="D36:G36" si="11">C36+D30</x:f>
      </x:c>
      <x:c r="E36">
        <x:f t="shared" si="11"/>
      </x:c>
      <x:c r="F36">
        <x:f t="shared" si="11"/>
      </x:c>
      <x:c r="G36">
        <x:f t="shared" si="11"/>
      </x:c>
      <x:c r="H36"/>
    </x:row>
    <x:row r="37" ht="14.5" hidden="0" customHeight="1">
      <x:c r="A37"/>
      <x:c r="B37"/>
      <x:c r="C37"/>
      <x:c r="D37">
        <x:f t="shared" ref="D37:G37" si="12">IF(C36&gt;=0,0,IF(D36&gt;=0,ABS(C36)/D30,1))</x:f>
      </x:c>
      <x:c r="E37">
        <x:f t="shared" si="12"/>
      </x:c>
      <x:c r="F37">
        <x:f t="shared" si="12"/>
      </x:c>
      <x:c r="G37">
        <x:f t="shared" si="12"/>
      </x:c>
      <x:c r="H37"/>
    </x:row>
    <x:row r="38" ht="14.5" hidden="0" customHeight="1">
      <x:c r="A38"/>
      <x:c r="B38"/>
      <x:c r="C38"/>
      <x:c r="D38"/>
      <x:c r="E38"/>
      <x:c r="F38"/>
      <x:c r="G38"/>
      <x:c r="H38"/>
    </x:row>
    <x:row r="39" ht="14.5" hidden="0" customHeight="1">
      <x:c r="A39"/>
      <x:c r="B39"/>
      <x:c r="C39"/>
      <x:c r="D39">
        <x:f t="shared" ref="D39:G39" si="13">IF(C38&gt;=0,0,IF(D38&gt;=0,ABS(C38)/D34,1))</x:f>
      </x:c>
      <x:c r="E39">
        <x:f t="shared" si="13"/>
      </x:c>
      <x:c r="F39">
        <x:f t="shared" si="13"/>
      </x:c>
      <x:c r="G39">
        <x:f t="shared" si="13"/>
      </x:c>
      <x:c r="H39"/>
    </x:row>
    <x:row r="40">
      <x:c r="H40"/>
    </x:row>
    <x:row r="41">
      <x:c r="H41"/>
      <x:c r="J41"/>
      <x:c r="K41"/>
    </x:row>
    <x:row r="42">
      <x:c r="I42"/>
      <x:c r="J42"/>
    </x:row>
    <x:row r="43">
      <x:c r="I43"/>
      <x:c r="J43"/>
    </x:row>
    <x:row r="44">
      <x:c r="I44"/>
      <x:c r="J44"/>
    </x:row>
    <x:row r="45">
      <x:c r="I45"/>
      <x:c r="J45"/>
    </x:row>
    <x:row r="46">
      <x:c r="I46"/>
      <x:c r="J46"/>
    </x:row>
    <x:row r="47" ht="15" customHeight="1">
      <x:c r="I47"/>
      <x:c r="J47"/>
    </x:row>
    <x:row r="48">
      <x:c r="I48"/>
      <x:c r="J48"/>
    </x:row>
    <x:row r="49" ht="15" customHeight="1">
      <x:c r="I49"/>
      <x:c r="J49"/>
    </x:row>
    <x:row r="50" ht="15" customHeight="1">
      <x:c r="I50"/>
      <x:c r="J50"/>
    </x:row>
    <x:row r="51" ht="15" customHeight="1">
      <x:c r="I51"/>
      <x:c r="J51"/>
    </x:row>
    <x:row r="52">
      <x:c r="I52"/>
      <x:c r="J52"/>
    </x:row>
    <x:row r="53">
      <x:c r="I53"/>
      <x:c r="J53"/>
    </x:row>
    <x:row r="54">
      <x:c r="I54"/>
      <x:c r="J54"/>
    </x:row>
    <x:row r="55" ht="15" customHeight="1">
      <x:c r="I55"/>
      <x:c r="J55"/>
    </x:row>
    <x:row r="56" ht="15" customHeight="1">
      <x:c r="I56"/>
      <x:c r="J56"/>
    </x:row>
    <x:row r="57" ht="15" customHeight="1">
      <x:c r="I57"/>
      <x:c r="J57"/>
    </x:row>
    <x:row r="58" ht="15" customHeight="1">
      <x:c r="I58"/>
      <x:c r="J58"/>
    </x:row>
    <x:row r="59" ht="15" customHeight="1">
      <x:c r="I59"/>
      <x:c r="J59"/>
    </x:row>
    <x:row r="60" ht="15" customHeight="1">
      <x:c r="I60"/>
      <x:c r="J60"/>
    </x:row>
  </x:sheetData>
  <x:mergeCells>
    <x:mergeCell ref="A1:N2"/>
    <x:mergeCell ref="A3:N3"/>
    <x:mergeCell ref="A10:C10"/>
    <x:mergeCell ref="A11:C13"/>
    <x:mergeCell ref="D10:F10"/>
    <x:mergeCell ref="D11:F13"/>
    <x:mergeCell ref="G10:I10"/>
    <x:mergeCell ref="G11:I13"/>
    <x:mergeCell ref="J10:L10"/>
    <x:mergeCell ref="J11:L13"/>
    <x:mergeCell ref="A16:N16"/>
    <x:mergeCell ref="A28:N28"/>
    <x:mergeCell ref="A29:N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8" tint="0.59999"/>
  </x:sheetPr>
  <x:sheetViews>
    <x:sheetView showGridLines="0" workbookViewId="0"/>
  </x:sheetViews>
  <x:sheetFormatPr defaultColWidth="9.1796875" defaultRowHeight="14.5"/>
  <x:cols>
    <x:col min="1" max="1" width="38" style="78" hidden="0" customWidth="1"/>
    <x:col min="2" max="2" width="16" style="78" hidden="0" customWidth="1"/>
    <x:col min="3" max="3" width="16" style="78" hidden="0" customWidth="1"/>
    <x:col min="4" max="4" width="16" style="78" hidden="0" customWidth="1"/>
    <x:col min="5" max="5" width="16" style="78" hidden="0" customWidth="1"/>
    <x:col min="6" max="6" width="16" style="78" hidden="0" customWidth="1"/>
    <x:col min="7" max="11" width="15.453125" style="78" customWidth="1"/>
    <x:col min="12" max="12" width="18" style="78" hidden="0" customWidth="1"/>
    <x:col min="13" max="16384" width="9.1796875" style="78" customWidth="0"/>
    <x:col min="7" max="7" width="16" hidden="0" customWidth="1"/>
    <x:col min="8" max="8" width="16" hidden="0" customWidth="1"/>
    <x:col min="9" max="9" width="3" hidden="0" customWidth="1"/>
    <x:col min="10" max="10" width="38" hidden="0" customWidth="1"/>
    <x:col min="11" max="11" width="18" hidden="0" customWidth="1"/>
    <x:col min="13" max="13" width="18" hidden="0" customWidth="1"/>
    <x:col min="14" max="14" width="25" hidden="0" customWidth="1"/>
  </x:cols>
  <x:sheetData>
    <x:row r="1" ht="34" customHeight="1">
      <x:c r="A1" s="1174" t="str">
        <x:v>БЮДЖЕТ ПРОЕКТА И СОВОКУПНАЯ СТОИМОСТЬ ВЛАДЕНИЯ</x:v>
      </x:c>
      <x:c r="B1" s="1174" t="str">
        <x:v>БЮДЖЕТ ПРОЕКТА И СОВОКУПНАЯ СТОИМОСТЬ ВЛАДЕНИЯ</x:v>
      </x:c>
      <x:c r="C1" s="1174" t="str">
        <x:v>БЮДЖЕТ ПРОЕКТА И СОВОКУПНАЯ СТОИМОСТЬ ВЛАДЕНИЯ</x:v>
      </x:c>
      <x:c r="D1" s="1174" t="str">
        <x:v>БЮДЖЕТ ПРОЕКТА И СОВОКУПНАЯ СТОИМОСТЬ ВЛАДЕНИЯ</x:v>
      </x:c>
      <x:c r="E1" s="1174" t="str">
        <x:v>БЮДЖЕТ ПРОЕКТА И СОВОКУПНАЯ СТОИМОСТЬ ВЛАДЕНИЯ</x:v>
      </x:c>
      <x:c r="F1" s="1174" t="str">
        <x:v>БЮДЖЕТ ПРОЕКТА И СОВОКУПНАЯ СТОИМОСТЬ ВЛАДЕНИЯ</x:v>
      </x:c>
      <x:c r="G1" s="1174" t="str">
        <x:v>БЮДЖЕТ ПРОЕКТА И СОВОКУПНАЯ СТОИМОСТЬ ВЛАДЕНИЯ</x:v>
      </x:c>
      <x:c r="H1" s="1174" t="str">
        <x:v>БЮДЖЕТ ПРОЕКТА И СОВОКУПНАЯ СТОИМОСТЬ ВЛАДЕНИЯ</x:v>
      </x:c>
      <x:c r="I1" s="1174" t="str">
        <x:v>БЮДЖЕТ ПРОЕКТА И СОВОКУПНАЯ СТОИМОСТЬ ВЛАДЕНИЯ</x:v>
      </x:c>
      <x:c r="J1" s="1174" t="str">
        <x:v>БЮДЖЕТ ПРОЕКТА И СОВОКУПНАЯ СТОИМОСТЬ ВЛАДЕНИЯ</x:v>
      </x:c>
      <x:c r="K1" s="1174" t="str">
        <x:v>БЮДЖЕТ ПРОЕКТА И СОВОКУПНАЯ СТОИМОСТЬ ВЛАДЕНИЯ</x:v>
      </x:c>
      <x:c r="L1" s="1174" t="str">
        <x:v>БЮДЖЕТ ПРОЕКТА И СОВОКУПНАЯ СТОИМОСТЬ ВЛАДЕНИЯ</x:v>
      </x:c>
      <x:c r="M1" s="1174" t="str">
        <x:v>БЮДЖЕТ ПРОЕКТА И СОВОКУПНАЯ СТОИМОСТЬ ВЛАДЕНИЯ</x:v>
      </x:c>
      <x:c r="N1" s="1174" t="str">
        <x:v>БЮДЖЕТ ПРОЕКТА И СОВОКУПНАЯ СТОИМОСТЬ ВЛАДЕНИЯ</x:v>
      </x:c>
    </x:row>
    <x:row r="2" ht="34" customHeight="1">
      <x:c r="A2" s="1174" t="str">
        <x:v>БЮДЖЕТ ПРОЕКТА И СОВОКУПНАЯ СТОИМОСТЬ ВЛАДЕНИЯ</x:v>
      </x:c>
      <x:c r="B2" s="1174" t="str">
        <x:v>БЮДЖЕТ ПРОЕКТА И СОВОКУПНАЯ СТОИМОСТЬ ВЛАДЕНИЯ</x:v>
      </x:c>
      <x:c r="C2" s="1174" t="str">
        <x:v>БЮДЖЕТ ПРОЕКТА И СОВОКУПНАЯ СТОИМОСТЬ ВЛАДЕНИЯ</x:v>
      </x:c>
      <x:c r="D2" s="1174" t="str">
        <x:v>БЮДЖЕТ ПРОЕКТА И СОВОКУПНАЯ СТОИМОСТЬ ВЛАДЕНИЯ</x:v>
      </x:c>
      <x:c r="E2" s="1174" t="str">
        <x:v>БЮДЖЕТ ПРОЕКТА И СОВОКУПНАЯ СТОИМОСТЬ ВЛАДЕНИЯ</x:v>
      </x:c>
      <x:c r="F2" s="1174" t="str">
        <x:v>БЮДЖЕТ ПРОЕКТА И СОВОКУПНАЯ СТОИМОСТЬ ВЛАДЕНИЯ</x:v>
      </x:c>
      <x:c r="G2" s="1174" t="str">
        <x:v>БЮДЖЕТ ПРОЕКТА И СОВОКУПНАЯ СТОИМОСТЬ ВЛАДЕНИЯ</x:v>
      </x:c>
      <x:c r="H2" s="1174" t="str">
        <x:v>БЮДЖЕТ ПРОЕКТА И СОВОКУПНАЯ СТОИМОСТЬ ВЛАДЕНИЯ</x:v>
      </x:c>
      <x:c r="I2" s="1174" t="str">
        <x:v>БЮДЖЕТ ПРОЕКТА И СОВОКУПНАЯ СТОИМОСТЬ ВЛАДЕНИЯ</x:v>
      </x:c>
      <x:c r="J2" s="1174" t="str">
        <x:v>БЮДЖЕТ ПРОЕКТА И СОВОКУПНАЯ СТОИМОСТЬ ВЛАДЕНИЯ</x:v>
      </x:c>
      <x:c r="K2" s="1174" t="str">
        <x:v>БЮДЖЕТ ПРОЕКТА И СОВОКУПНАЯ СТОИМОСТЬ ВЛАДЕНИЯ</x:v>
      </x:c>
      <x:c r="L2" s="1174" t="str">
        <x:v>БЮДЖЕТ ПРОЕКТА И СОВОКУПНАЯ СТОИМОСТЬ ВЛАДЕНИЯ</x:v>
      </x:c>
      <x:c r="M2" s="1174" t="str">
        <x:v>БЮДЖЕТ ПРОЕКТА И СОВОКУПНАЯ СТОИМОСТЬ ВЛАДЕНИЯ</x:v>
      </x:c>
      <x:c r="N2" s="1174" t="str">
        <x:v>БЮДЖЕТ ПРОЕКТА И СОВОКУПНАЯ СТОИМОСТЬ ВЛАДЕНИЯ</x:v>
      </x:c>
    </x:row>
    <x:row r="3" ht="28" customHeight="1">
      <x:c r="A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B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C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D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E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F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G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H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I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J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K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L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M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  <x:c r="N3" s="1178" t="str">
        <x:v>Базовый расчет относится к пилоту из кейса. Промышленный бюджет 140 млн рублей показан отдельно и не подменяет условия пилота.</x:v>
      </x:c>
    </x:row>
    <x:row r="4">
      <x:c r="A4" s="322"/>
      <x:c r="B4" s="322"/>
      <x:c r="C4" s="322"/>
      <x:c r="D4" s="322"/>
      <x:c r="E4" s="322"/>
      <x:c r="F4" s="322"/>
      <x:c r="G4" s="322"/>
      <x:c r="H4" s="322"/>
      <x:c r="I4" s="322"/>
      <x:c r="J4" s="322"/>
      <x:c r="K4" s="322"/>
      <x:c r="L4" s="322"/>
      <x:c r="M4" s="322"/>
      <x:c r="N4" s="322"/>
    </x:row>
    <x:row r="5" ht="24" customHeight="1">
      <x:c r="A5" s="1219" t="str">
        <x:v>1. TCO пилота по годам</x:v>
      </x:c>
      <x:c r="B5" s="1219" t="str">
        <x:v>1. TCO пилота по годам</x:v>
      </x:c>
      <x:c r="C5" s="1219" t="str">
        <x:v>1. TCO пилота по годам</x:v>
      </x:c>
      <x:c r="D5" s="1219" t="str">
        <x:v>1. TCO пилота по годам</x:v>
      </x:c>
      <x:c r="E5" s="1219" t="str">
        <x:v>1. TCO пилота по годам</x:v>
      </x:c>
      <x:c r="F5" s="1219" t="str">
        <x:v>1. TCO пилота по годам</x:v>
      </x:c>
      <x:c r="G5" s="1219" t="str">
        <x:v>1. TCO пилота по годам</x:v>
      </x:c>
      <x:c r="H5" s="1219" t="str">
        <x:v>1. TCO пилота по годам</x:v>
      </x:c>
      <x:c r="I5" s="322"/>
      <x:c r="J5" s="1219" t="str">
        <x:v>2. Альтернативы масштаба</x:v>
      </x:c>
      <x:c r="K5" s="1219" t="str">
        <x:v>2. Альтернативы масштаба</x:v>
      </x:c>
      <x:c r="L5" s="1219" t="str">
        <x:v>2. Альтернативы масштаба</x:v>
      </x:c>
      <x:c r="M5" s="1219" t="str">
        <x:v>2. Альтернативы масштаба</x:v>
      </x:c>
      <x:c r="N5" s="1219" t="str">
        <x:v>2. Альтернативы масштаба</x:v>
      </x:c>
    </x:row>
    <x:row r="6" ht="22" customHeight="1">
      <x:c r="A6" s="1188" t="str">
        <x:v>Статья</x:v>
      </x:c>
      <x:c r="B6" s="1188" t="n">
        <x:v>2026</x:v>
      </x:c>
      <x:c r="C6" s="1188" t="n">
        <x:v>2027</x:v>
      </x:c>
      <x:c r="D6" s="1188" t="n">
        <x:v>2028</x:v>
      </x:c>
      <x:c r="E6" s="1188" t="n">
        <x:v>2029</x:v>
      </x:c>
      <x:c r="F6" s="1188" t="n">
        <x:v>2030</x:v>
      </x:c>
      <x:c r="G6" s="1188" t="n">
        <x:v>2031</x:v>
      </x:c>
      <x:c r="H6" s="1188" t="str">
        <x:v>Итого</x:v>
      </x:c>
      <x:c r="I6" s="322"/>
      <x:c r="J6" s="1188" t="str">
        <x:v>Сценарий</x:v>
      </x:c>
      <x:c r="K6" s="1188" t="str">
        <x:v>CAPEX</x:v>
      </x:c>
      <x:c r="L6" s="1188" t="str">
        <x:v>OPEX/год</x:v>
      </x:c>
      <x:c r="M6" s="1188" t="str">
        <x:v>TCO 5 лет</x:v>
      </x:c>
      <x:c r="N6" s="1188" t="str">
        <x:v>Статус</x:v>
      </x:c>
    </x:row>
    <x:row r="7" ht="28" hidden="0" customHeight="1">
      <x:c r="A7" s="1255" t="str">
        <x:v>CAPEX</x:v>
      </x:c>
      <x:c r="B7" s="1255"/>
      <x:c r="C7" s="1255"/>
      <x:c r="D7" s="1255"/>
      <x:c r="E7" s="1255"/>
      <x:c r="F7" s="1255"/>
      <x:c r="G7" s="1255"/>
      <x:c r="H7" s="1255"/>
      <x:c r="I7" s="322"/>
      <x:c r="J7" s="1220" t="str">
        <x:v>Пилот: 4 филиала / 87 пользователей</x:v>
      </x:c>
      <x:c r="K7" s="1716" t="n">
        <x:f>'Исходные данные'!C27</x:f>
        <x:v>21.175</x:v>
      </x:c>
      <x:c r="L7" s="1716" t="n">
        <x:f>'Исходные данные'!C32</x:f>
        <x:v>1.51</x:v>
      </x:c>
      <x:c r="M7" s="1716" t="n">
        <x:f>K7+L7*'Исходные данные'!C10</x:f>
        <x:v>28.725</x:v>
      </x:c>
      <x:c r="N7" s="1220" t="str">
        <x:v>Базовый расчет</x:v>
      </x:c>
    </x:row>
    <x:row r="8" ht="28" hidden="0" customHeight="1">
      <x:c r="A8" s="1222" t="str">
        <x:v>Команда проекта</x:v>
      </x:c>
      <x:c r="B8" s="1723" t="n">
        <x:f>'Исходные данные'!C21</x:f>
        <x:v>16.8</x:v>
      </x:c>
      <x:c r="C8" s="1227" t="n">
        <x:f>0</x:f>
        <x:v>0</x:v>
      </x:c>
      <x:c r="D8" s="1227" t="n">
        <x:f>0</x:f>
        <x:v>0</x:v>
      </x:c>
      <x:c r="E8" s="1227" t="n">
        <x:f>0</x:f>
        <x:v>0</x:v>
      </x:c>
      <x:c r="F8" s="1227" t="n">
        <x:f>0</x:f>
        <x:v>0</x:v>
      </x:c>
      <x:c r="G8" s="1227" t="n">
        <x:f>0</x:f>
        <x:v>0</x:v>
      </x:c>
      <x:c r="H8" s="1227" t="n">
        <x:f>SUM(B8:G8)</x:f>
        <x:v>16.8</x:v>
      </x:c>
      <x:c r="I8" s="322"/>
      <x:c r="J8" s="1222" t="str">
        <x:v>Промышленное тиражирование</x:v>
      </x:c>
      <x:c r="K8" s="1723" t="n">
        <x:f>'Исходные данные'!C69</x:f>
        <x:v>140</x:v>
      </x:c>
      <x:c r="L8" s="1723" t="n">
        <x:f t="shared" ref="L8:L18" si="0">'Исходные данные'!C70</x:f>
        <x:v>12</x:v>
      </x:c>
      <x:c r="M8" s="1723" t="n">
        <x:f>K8+L8*'Исходные данные'!C10</x:f>
        <x:v>200</x:v>
      </x:c>
      <x:c r="N8" s="1222" t="str">
        <x:v>Ориентир, не факт кейса</x:v>
      </x:c>
    </x:row>
    <x:row r="9" ht="28" hidden="0" customHeight="1">
      <x:c r="A9" s="1222" t="str">
        <x:v>Базовая инфраструктура</x:v>
      </x:c>
      <x:c r="B9" s="1723" t="n">
        <x:f>'Исходные данные'!C22</x:f>
        <x:v>1.75</x:v>
      </x:c>
      <x:c r="C9" s="1227" t="n">
        <x:f>0</x:f>
        <x:v>0</x:v>
      </x:c>
      <x:c r="D9" s="1227" t="n">
        <x:f>0</x:f>
        <x:v>0</x:v>
      </x:c>
      <x:c r="E9" s="1227" t="n">
        <x:f>0</x:f>
        <x:v>0</x:v>
      </x:c>
      <x:c r="F9" s="1227" t="n">
        <x:f>0</x:f>
        <x:v>0</x:v>
      </x:c>
      <x:c r="G9" s="1227" t="n">
        <x:f>0</x:f>
        <x:v>0</x:v>
      </x:c>
      <x:c r="H9" s="1227" t="n">
        <x:f>SUM(B9:G9)</x:f>
        <x:v>1.75</x:v>
      </x:c>
      <x:c r="I9" s="322"/>
      <x:c r="J9" s="1233" t="str">
        <x:v>Разница масштаба</x:v>
      </x:c>
      <x:c r="K9" s="1234" t="n">
        <x:f>K8-K7</x:f>
        <x:v>118.825</x:v>
      </x:c>
      <x:c r="L9" s="1234" t="n">
        <x:f t="shared" si="0">L8-L7</x:f>
        <x:v>10.49</x:v>
      </x:c>
      <x:c r="M9" s="1234" t="n">
        <x:f>M8-M7</x:f>
        <x:v>171.275</x:v>
      </x:c>
      <x:c r="N9" s="1233" t="str">
        <x:v>Сценарное сравнение</x:v>
      </x:c>
    </x:row>
    <x:row r="10" ht="28" hidden="0" customHeight="1">
      <x:c r="A10" s="1222" t="str">
        <x:v>Два GPU-сервера A30</x:v>
      </x:c>
      <x:c r="B10" s="1723" t="n">
        <x:f>'Исходные данные'!C23</x:f>
        <x:v>0.4</x:v>
      </x:c>
      <x:c r="C10" s="1227" t="n">
        <x:f>0</x:f>
        <x:v>0</x:v>
      </x:c>
      <x:c r="D10" s="1227" t="n">
        <x:f>0</x:f>
        <x:v>0</x:v>
      </x:c>
      <x:c r="E10" s="1227" t="n">
        <x:f>0</x:f>
        <x:v>0</x:v>
      </x:c>
      <x:c r="F10" s="1227" t="n">
        <x:f>0</x:f>
        <x:v>0</x:v>
      </x:c>
      <x:c r="G10" s="1227" t="n">
        <x:f>0</x:f>
        <x:v>0</x:v>
      </x:c>
      <x:c r="H10" s="1227" t="n">
        <x:f>SUM(B10:G10)</x:f>
        <x:v>0.4</x:v>
      </x:c>
      <x:c r="I10" s="322"/>
      <x:c r="J10" s="322"/>
      <x:c r="K10" s="322"/>
      <x:c r="L10" s="322">
        <x:f t="shared" si="0"/>
      </x:c>
      <x:c r="M10" s="322"/>
      <x:c r="N10" s="322"/>
    </x:row>
    <x:row r="11" ht="28" hidden="0" customHeight="1">
      <x:c r="A11" s="1222" t="str">
        <x:v>Интеграция, обучение и приемка</x:v>
      </x:c>
      <x:c r="B11" s="1723" t="n">
        <x:f>'Исходные данные'!C24</x:f>
        <x:v>0.3</x:v>
      </x:c>
      <x:c r="C11" s="1227" t="n">
        <x:f>0</x:f>
        <x:v>0</x:v>
      </x:c>
      <x:c r="D11" s="1227" t="n">
        <x:f>0</x:f>
        <x:v>0</x:v>
      </x:c>
      <x:c r="E11" s="1227" t="n">
        <x:f>0</x:f>
        <x:v>0</x:v>
      </x:c>
      <x:c r="F11" s="1227" t="n">
        <x:f>0</x:f>
        <x:v>0</x:v>
      </x:c>
      <x:c r="G11" s="1227" t="n">
        <x:f>0</x:f>
        <x:v>0</x:v>
      </x:c>
      <x:c r="H11" s="1227" t="n">
        <x:f>SUM(B11:G11)</x:f>
        <x:v>0.3</x:v>
      </x:c>
      <x:c r="I11" s="322"/>
      <x:c r="J11" s="322"/>
      <x:c r="K11" s="322"/>
      <x:c r="L11" s="322">
        <x:f t="shared" si="0"/>
      </x:c>
      <x:c r="M11" s="322"/>
      <x:c r="N11" s="322"/>
    </x:row>
    <x:row r="12" ht="28" hidden="0" customHeight="1">
      <x:c r="A12" s="1222" t="str">
        <x:v>Резерв проекта</x:v>
      </x:c>
      <x:c r="B12" s="1723" t="n">
        <x:f>'Исходные данные'!C27-'Исходные данные'!C25</x:f>
        <x:v>1.9250000000000007</x:v>
      </x:c>
      <x:c r="C12" s="1227" t="n">
        <x:f>0</x:f>
        <x:v>0</x:v>
      </x:c>
      <x:c r="D12" s="1227" t="n">
        <x:f>0</x:f>
        <x:v>0</x:v>
      </x:c>
      <x:c r="E12" s="1227" t="n">
        <x:f>0</x:f>
        <x:v>0</x:v>
      </x:c>
      <x:c r="F12" s="1227" t="n">
        <x:f>0</x:f>
        <x:v>0</x:v>
      </x:c>
      <x:c r="G12" s="1227" t="n">
        <x:f>0</x:f>
        <x:v>0</x:v>
      </x:c>
      <x:c r="H12" s="1227" t="n">
        <x:f>SUM(B12:G12)</x:f>
        <x:v>1.9250000000000007</x:v>
      </x:c>
      <x:c r="I12" s="322"/>
      <x:c r="J12" s="1219" t="str">
        <x:v>3. Структура CAPEX пилота</x:v>
      </x:c>
      <x:c r="K12" s="1219" t="str">
        <x:v>3. Структура CAPEX пилота</x:v>
      </x:c>
      <x:c r="L12" s="1219" t="str">
        <x:f t="shared" si="0"/>
        <x:v>3. Структура CAPEX пилота</x:v>
      </x:c>
      <x:c r="M12" s="1219" t="str">
        <x:v>3. Структура CAPEX пилота</x:v>
      </x:c>
      <x:c r="N12" s="1219" t="str">
        <x:v>3. Структура CAPEX пилота</x:v>
      </x:c>
    </x:row>
    <x:row r="13" ht="28" hidden="0" customHeight="1">
      <x:c r="A13" s="1229" t="str">
        <x:v>Итого CAPEX</x:v>
      </x:c>
      <x:c r="B13" s="1230" t="n">
        <x:f>SUM(B8:B12)</x:f>
        <x:v>21.175</x:v>
      </x:c>
      <x:c r="C13" s="1230" t="n">
        <x:f>SUM(C8:C12)</x:f>
        <x:v>0</x:v>
      </x:c>
      <x:c r="D13" s="1230" t="n">
        <x:f>SUM(D8:D12)</x:f>
        <x:v>0</x:v>
      </x:c>
      <x:c r="E13" s="1230" t="n">
        <x:f>SUM(E8:E12)</x:f>
        <x:v>0</x:v>
      </x:c>
      <x:c r="F13" s="1230" t="n">
        <x:f>SUM(F8:F12)</x:f>
        <x:v>0</x:v>
      </x:c>
      <x:c r="G13" s="1230" t="n">
        <x:f>SUM(G8:G12)</x:f>
        <x:v>0</x:v>
      </x:c>
      <x:c r="H13" s="1230" t="n">
        <x:f>SUM(B13:G13)</x:f>
        <x:v>21.175</x:v>
      </x:c>
      <x:c r="I13" s="322"/>
      <x:c r="J13" s="1188" t="str">
        <x:v>Статья</x:v>
      </x:c>
      <x:c r="K13" s="1188" t="str">
        <x:v>млн руб.</x:v>
      </x:c>
      <x:c r="L13" s="322">
        <x:f t="shared" si="0"/>
      </x:c>
      <x:c r="M13" s="322"/>
      <x:c r="N13" s="322"/>
    </x:row>
    <x:row r="14" ht="28" hidden="0" customHeight="1">
      <x:c r="A14" s="1222"/>
      <x:c r="B14" s="1227"/>
      <x:c r="C14" s="1227"/>
      <x:c r="D14" s="1227"/>
      <x:c r="E14" s="1227"/>
      <x:c r="F14" s="1227"/>
      <x:c r="G14" s="1227"/>
      <x:c r="H14" s="1227"/>
      <x:c r="I14" s="322"/>
      <x:c r="J14" s="1220" t="str">
        <x:v>Команда</x:v>
      </x:c>
      <x:c r="K14" s="1716" t="n">
        <x:f>'Исходные данные'!C21</x:f>
        <x:v>16.8</x:v>
      </x:c>
      <x:c r="L14" s="322">
        <x:f t="shared" si="0"/>
      </x:c>
      <x:c r="M14" s="322"/>
      <x:c r="N14" s="322"/>
    </x:row>
    <x:row r="15" ht="28" hidden="0" customHeight="1">
      <x:c r="A15" s="1249" t="str">
        <x:v>OPEX и сервисные затраты</x:v>
      </x:c>
      <x:c r="B15" s="1250"/>
      <x:c r="C15" s="1250"/>
      <x:c r="D15" s="1250"/>
      <x:c r="E15" s="1250"/>
      <x:c r="F15" s="1250"/>
      <x:c r="G15" s="1250"/>
      <x:c r="H15" s="1250"/>
      <x:c r="I15" s="322"/>
      <x:c r="J15" s="1222" t="str">
        <x:v>Инфраструктура и GPU</x:v>
      </x:c>
      <x:c r="K15" s="1723" t="n">
        <x:f>'Исходные данные'!C22+'Исходные данные'!C23</x:f>
        <x:v>2.15</x:v>
      </x:c>
      <x:c r="L15" s="322">
        <x:f t="shared" si="0"/>
      </x:c>
      <x:c r="M15" s="322"/>
      <x:c r="N15" s="322"/>
    </x:row>
    <x:row r="16" ht="28" hidden="0" customHeight="1">
      <x:c r="A16" s="1222" t="str">
        <x:v>Сопровождение платформы</x:v>
      </x:c>
      <x:c r="B16" s="1227" t="n">
        <x:f>0</x:f>
        <x:v>0</x:v>
      </x:c>
      <x:c r="C16" s="1723" t="n">
        <x:f>'Исходные данные'!C31</x:f>
        <x:v>0.96</x:v>
      </x:c>
      <x:c r="D16" s="1723" t="n">
        <x:f>'Исходные данные'!C31</x:f>
        <x:v>0.96</x:v>
      </x:c>
      <x:c r="E16" s="1723" t="n">
        <x:f>'Исходные данные'!C31</x:f>
        <x:v>0.96</x:v>
      </x:c>
      <x:c r="F16" s="1723" t="n">
        <x:f>'Исходные данные'!C31</x:f>
        <x:v>0.96</x:v>
      </x:c>
      <x:c r="G16" s="1723" t="n">
        <x:f>'Исходные данные'!C31</x:f>
        <x:v>0.96</x:v>
      </x:c>
      <x:c r="H16" s="1227" t="n">
        <x:f>SUM(B16:G16)</x:f>
        <x:v>4.8</x:v>
      </x:c>
      <x:c r="I16" s="322"/>
      <x:c r="J16" s="1222" t="str">
        <x:v>Интеграция</x:v>
      </x:c>
      <x:c r="K16" s="1723" t="n">
        <x:f>'Исходные данные'!C24</x:f>
        <x:v>0.3</x:v>
      </x:c>
      <x:c r="L16" s="322">
        <x:f t="shared" si="0"/>
      </x:c>
      <x:c r="M16" s="322"/>
      <x:c r="N16" s="322"/>
    </x:row>
    <x:row r="17" ht="28" hidden="0" customHeight="1">
      <x:c r="A17" s="1222" t="str">
        <x:v>Эксплуатация инфраструктуры</x:v>
      </x:c>
      <x:c r="B17" s="1227" t="n">
        <x:f>0</x:f>
        <x:v>0</x:v>
      </x:c>
      <x:c r="C17" s="1723" t="n">
        <x:f>'Исходные данные'!C29</x:f>
        <x:v>0.3</x:v>
      </x:c>
      <x:c r="D17" s="1723" t="n">
        <x:f>'Исходные данные'!C29</x:f>
        <x:v>0.3</x:v>
      </x:c>
      <x:c r="E17" s="1723" t="n">
        <x:f>'Исходные данные'!C29</x:f>
        <x:v>0.3</x:v>
      </x:c>
      <x:c r="F17" s="1723" t="n">
        <x:f>'Исходные данные'!C29</x:f>
        <x:v>0.3</x:v>
      </x:c>
      <x:c r="G17" s="1723" t="n">
        <x:f>'Исходные данные'!C29</x:f>
        <x:v>0.3</x:v>
      </x:c>
      <x:c r="H17" s="1227" t="n">
        <x:f>SUM(B17:G17)</x:f>
        <x:v>1.5</x:v>
      </x:c>
      <x:c r="I17" s="322"/>
      <x:c r="J17" s="1222" t="str">
        <x:v>Резерв</x:v>
      </x:c>
      <x:c r="K17" s="1723" t="n">
        <x:f>'Исходные данные'!C27-'Исходные данные'!C25</x:f>
        <x:v>1.9250000000000007</x:v>
      </x:c>
      <x:c r="L17" s="322">
        <x:f t="shared" si="0"/>
      </x:c>
      <x:c r="M17" s="322"/>
      <x:c r="N17" s="322"/>
    </x:row>
    <x:row r="18" ht="28" hidden="0" customHeight="1">
      <x:c r="A18" s="1222" t="str">
        <x:v>Лицензии и вендорская поддержка</x:v>
      </x:c>
      <x:c r="B18" s="1227" t="n">
        <x:f>0</x:f>
        <x:v>0</x:v>
      </x:c>
      <x:c r="C18" s="1723" t="n">
        <x:f>'Исходные данные'!C30</x:f>
        <x:v>0.25</x:v>
      </x:c>
      <x:c r="D18" s="1723" t="n">
        <x:f>'Исходные данные'!C30</x:f>
        <x:v>0.25</x:v>
      </x:c>
      <x:c r="E18" s="1723" t="n">
        <x:f>'Исходные данные'!C30</x:f>
        <x:v>0.25</x:v>
      </x:c>
      <x:c r="F18" s="1723" t="n">
        <x:f>'Исходные данные'!C30</x:f>
        <x:v>0.25</x:v>
      </x:c>
      <x:c r="G18" s="1723" t="n">
        <x:f>'Исходные данные'!C30</x:f>
        <x:v>0.25</x:v>
      </x:c>
      <x:c r="H18" s="1227" t="n">
        <x:f>SUM(B18:G18)</x:f>
        <x:v>1.25</x:v>
      </x:c>
      <x:c r="I18" s="322"/>
      <x:c r="J18" s="322"/>
      <x:c r="K18" s="322"/>
      <x:c r="L18" s="322">
        <x:f t="shared" si="0"/>
      </x:c>
      <x:c r="M18" s="322"/>
      <x:c r="N18" s="322"/>
    </x:row>
    <x:row r="19" ht="28" hidden="0" customHeight="1">
      <x:c r="A19" s="1229" t="str">
        <x:v>Итого OPEX</x:v>
      </x:c>
      <x:c r="B19" s="1230" t="n">
        <x:f>SUM(B16:B18)</x:f>
        <x:v>0</x:v>
      </x:c>
      <x:c r="C19" s="1230" t="n">
        <x:f>SUM(C16:C18)</x:f>
        <x:v>1.51</x:v>
      </x:c>
      <x:c r="D19" s="1230" t="n">
        <x:f>SUM(D16:D18)</x:f>
        <x:v>1.51</x:v>
      </x:c>
      <x:c r="E19" s="1230" t="n">
        <x:f>SUM(E16:E18)</x:f>
        <x:v>1.51</x:v>
      </x:c>
      <x:c r="F19" s="1230" t="n">
        <x:f>SUM(F16:F18)</x:f>
        <x:v>1.51</x:v>
      </x:c>
      <x:c r="G19" s="1230" t="n">
        <x:f>SUM(G16:G18)</x:f>
        <x:v>1.51</x:v>
      </x:c>
      <x:c r="H19" s="1230" t="n">
        <x:f>SUM(B19:G19)</x:f>
        <x:v>7.55</x:v>
      </x:c>
      <x:c r="I19" s="322"/>
      <x:c r="J19" s="322"/>
      <x:c r="K19" s="322"/>
      <x:c r="L19" s="322"/>
      <x:c r="M19" s="322"/>
      <x:c r="N19" s="322"/>
    </x:row>
    <x:row r="20" ht="28" hidden="0" customHeight="1">
      <x:c r="A20" s="1222"/>
      <x:c r="B20" s="1227"/>
      <x:c r="C20" s="1227"/>
      <x:c r="D20" s="1227"/>
      <x:c r="E20" s="1227"/>
      <x:c r="F20" s="1227"/>
      <x:c r="G20" s="1227"/>
      <x:c r="H20" s="1227"/>
      <x:c r="I20" s="322"/>
      <x:c r="J20" s="322"/>
      <x:c r="K20" s="322"/>
      <x:c r="L20" s="322"/>
      <x:c r="M20" s="322"/>
      <x:c r="N20" s="322"/>
    </x:row>
    <x:row r="21" ht="28" hidden="0" customHeight="1">
      <x:c r="A21" s="1233" t="str">
        <x:v>TCO пилота</x:v>
      </x:c>
      <x:c r="B21" s="1234" t="n">
        <x:f>B13+B19</x:f>
        <x:v>21.175</x:v>
      </x:c>
      <x:c r="C21" s="1234" t="n">
        <x:f>C13+C19</x:f>
        <x:v>1.51</x:v>
      </x:c>
      <x:c r="D21" s="1234" t="n">
        <x:f>D13+D19</x:f>
        <x:v>1.51</x:v>
      </x:c>
      <x:c r="E21" s="1234" t="n">
        <x:f>E13+E19</x:f>
        <x:v>1.51</x:v>
      </x:c>
      <x:c r="F21" s="1234" t="n">
        <x:f>F13+F19</x:f>
        <x:v>1.51</x:v>
      </x:c>
      <x:c r="G21" s="1234" t="n">
        <x:f>G13+G19</x:f>
        <x:v>1.51</x:v>
      </x:c>
      <x:c r="H21" s="1234" t="n">
        <x:f>SUM(B21:G21)</x:f>
        <x:v>28.72500000000001</x:v>
      </x:c>
      <x:c r="I21" s="322"/>
      <x:c r="J21" s="322"/>
      <x:c r="K21" s="322"/>
      <x:c r="L21" s="322"/>
      <x:c r="M21" s="322"/>
      <x:c r="N21" s="322"/>
    </x:row>
    <x:row r="22" ht="14.5" hidden="0" customHeight="1">
      <x:c r="A22" s="322"/>
      <x:c r="B22" s="322"/>
      <x:c r="C22" s="322"/>
      <x:c r="D22" s="322"/>
      <x:c r="E22" s="322"/>
      <x:c r="F22" s="322"/>
      <x:c r="G22" s="322"/>
      <x:c r="H22" s="322"/>
      <x:c r="I22" s="322"/>
      <x:c r="J22" s="322"/>
      <x:c r="K22" s="322"/>
      <x:c r="L22" s="322"/>
      <x:c r="M22" s="322"/>
      <x:c r="N22" s="322"/>
    </x:row>
    <x:row r="23" ht="14.5" hidden="0" customHeight="1">
      <x:c r="A23" s="322"/>
      <x:c r="B23" s="322"/>
      <x:c r="C23" s="322"/>
      <x:c r="D23" s="322"/>
      <x:c r="E23" s="322"/>
      <x:c r="F23" s="322"/>
      <x:c r="G23" s="322"/>
      <x:c r="H23" s="322"/>
      <x:c r="I23" s="322"/>
      <x:c r="J23" s="322"/>
      <x:c r="K23" s="322"/>
      <x:c r="L23" s="322">
        <x:f t="shared" ref="L23:L29" si="1">SUM(B23:K23)</x:f>
      </x:c>
      <x:c r="M23" s="322"/>
      <x:c r="N23" s="322"/>
    </x:row>
    <x:row r="24" ht="14.5" hidden="0" customHeight="1">
      <x:c r="A24" s="322"/>
      <x:c r="B24" s="322"/>
      <x:c r="C24" s="322"/>
      <x:c r="D24" s="322"/>
      <x:c r="E24" s="322"/>
      <x:c r="F24" s="322"/>
      <x:c r="G24" s="322"/>
      <x:c r="H24" s="322"/>
      <x:c r="I24" s="322"/>
      <x:c r="J24" s="322"/>
      <x:c r="K24" s="322"/>
      <x:c r="L24" s="322">
        <x:f t="shared" si="1"/>
      </x:c>
      <x:c r="M24" s="322"/>
      <x:c r="N24" s="322"/>
    </x:row>
    <x:row r="25" ht="14.5" hidden="0" customHeight="1">
      <x:c r="A25" s="322"/>
      <x:c r="B25" s="322"/>
      <x:c r="C25" s="322"/>
      <x:c r="D25" s="322"/>
      <x:c r="E25" s="322"/>
      <x:c r="F25" s="322"/>
      <x:c r="G25" s="322"/>
      <x:c r="H25" s="322"/>
      <x:c r="I25" s="322"/>
      <x:c r="J25" s="322"/>
      <x:c r="K25" s="322"/>
      <x:c r="L25" s="322">
        <x:f t="shared" si="1"/>
      </x:c>
      <x:c r="M25" s="322"/>
      <x:c r="N25" s="322"/>
    </x:row>
    <x:row r="26" ht="14.5" hidden="0" customHeight="1">
      <x:c r="A26" s="322"/>
      <x:c r="B26" s="322"/>
      <x:c r="C26" s="322"/>
      <x:c r="D26" s="322"/>
      <x:c r="E26" s="322"/>
      <x:c r="F26" s="322"/>
      <x:c r="G26" s="322"/>
      <x:c r="H26" s="322"/>
      <x:c r="I26" s="322"/>
      <x:c r="J26" s="322"/>
      <x:c r="K26" s="322"/>
      <x:c r="L26" s="322">
        <x:f t="shared" si="1"/>
      </x:c>
      <x:c r="M26" s="322"/>
      <x:c r="N26" s="322"/>
    </x:row>
    <x:row r="27" ht="14.5" hidden="0" customHeight="1">
      <x:c r="A27" s="322"/>
      <x:c r="B27" s="322"/>
      <x:c r="C27" s="322"/>
      <x:c r="D27" s="322"/>
      <x:c r="E27" s="322"/>
      <x:c r="F27" s="322"/>
      <x:c r="G27" s="322"/>
      <x:c r="H27" s="322"/>
      <x:c r="I27" s="322"/>
      <x:c r="J27" s="322"/>
      <x:c r="K27" s="322"/>
      <x:c r="L27" s="322">
        <x:f t="shared" si="1"/>
      </x:c>
      <x:c r="M27" s="322"/>
      <x:c r="N27" s="322"/>
    </x:row>
    <x:row r="28" ht="14.5" hidden="0" customHeight="1">
      <x:c r="A28" s="322"/>
      <x:c r="B28" s="322"/>
      <x:c r="C28" s="322"/>
      <x:c r="D28" s="322"/>
      <x:c r="E28" s="322"/>
      <x:c r="F28" s="322"/>
      <x:c r="G28" s="322"/>
      <x:c r="H28" s="322"/>
      <x:c r="I28" s="322"/>
      <x:c r="J28" s="322"/>
      <x:c r="K28" s="322"/>
      <x:c r="L28" s="322">
        <x:f t="shared" si="1"/>
      </x:c>
      <x:c r="M28" s="322"/>
      <x:c r="N28" s="322"/>
    </x:row>
    <x:row r="29" ht="14.5" hidden="0" customHeight="1">
      <x:c r="A29" s="322"/>
      <x:c r="B29" s="322"/>
      <x:c r="C29" s="322"/>
      <x:c r="D29" s="322"/>
      <x:c r="E29" s="322"/>
      <x:c r="F29" s="322"/>
      <x:c r="G29" s="322"/>
      <x:c r="H29" s="322"/>
      <x:c r="I29" s="322"/>
      <x:c r="J29" s="322"/>
      <x:c r="K29" s="322"/>
      <x:c r="L29" s="322">
        <x:f t="shared" si="1"/>
      </x:c>
      <x:c r="M29" s="322"/>
      <x:c r="N29" s="322"/>
    </x:row>
    <x:row r="30" ht="14.5" hidden="0" customHeight="1">
      <x:c r="A30" s="322"/>
      <x:c r="B30" s="322"/>
      <x:c r="C30" s="322">
        <x:f t="shared" ref="C30:K30" si="2">SUM(C22:C29)</x:f>
      </x:c>
      <x:c r="D30" s="322">
        <x:f t="shared" si="2"/>
      </x:c>
      <x:c r="E30" s="322">
        <x:f t="shared" si="2"/>
      </x:c>
      <x:c r="F30" s="322">
        <x:f t="shared" si="2"/>
      </x:c>
      <x:c r="G30" s="322">
        <x:f t="shared" si="2"/>
      </x:c>
      <x:c r="H30" s="322">
        <x:f t="shared" si="2"/>
      </x:c>
      <x:c r="I30" s="322">
        <x:f t="shared" si="2"/>
      </x:c>
      <x:c r="J30" s="322">
        <x:f t="shared" si="2"/>
      </x:c>
      <x:c r="K30" s="322">
        <x:f t="shared" si="2"/>
      </x:c>
      <x:c r="L30" s="322"/>
      <x:c r="M30" s="322"/>
      <x:c r="N30" s="322"/>
    </x:row>
    <x:row r="31" ht="14.5" hidden="0" customHeight="1">
      <x:c r="A31" s="322"/>
      <x:c r="B31" s="322"/>
      <x:c r="C31" s="322"/>
      <x:c r="D31" s="322"/>
      <x:c r="E31" s="322"/>
      <x:c r="F31" s="322"/>
      <x:c r="G31" s="322"/>
      <x:c r="H31" s="322"/>
      <x:c r="I31" s="322"/>
      <x:c r="J31" s="322"/>
      <x:c r="K31" s="322"/>
      <x:c r="L31" s="322"/>
      <x:c r="M31" s="322"/>
      <x:c r="N31" s="322"/>
    </x:row>
    <x:row r="32" ht="14.5" hidden="0" customHeight="1">
      <x:c r="A32" s="322"/>
      <x:c r="B32" s="322"/>
      <x:c r="C32" s="322"/>
      <x:c r="D32" s="322">
        <x:f t="shared" ref="D32:K32" si="3">D19+D30</x:f>
      </x:c>
      <x:c r="E32" s="322">
        <x:f t="shared" si="3"/>
      </x:c>
      <x:c r="F32" s="322">
        <x:f t="shared" si="3"/>
      </x:c>
      <x:c r="G32" s="322">
        <x:f t="shared" si="3"/>
      </x:c>
      <x:c r="H32" s="322"/>
      <x:c r="I32" s="322">
        <x:f t="shared" si="3"/>
      </x:c>
      <x:c r="J32" s="322">
        <x:f t="shared" si="3"/>
      </x:c>
      <x:c r="K32" s="322">
        <x:f t="shared" si="3"/>
      </x:c>
      <x:c r="L32" s="322"/>
      <x:c r="M32" s="322"/>
      <x:c r="N32" s="322"/>
    </x:row>
    <x:row r="33" ht="14.5" hidden="0" customHeight="1">
      <x:c r="A33" s="322"/>
      <x:c r="B33" s="322"/>
      <x:c r="C33" s="322"/>
      <x:c r="D33" s="322"/>
      <x:c r="E33" s="322"/>
      <x:c r="F33" s="322"/>
      <x:c r="G33" s="322"/>
      <x:c r="H33" s="322"/>
      <x:c r="I33" s="322"/>
      <x:c r="J33" s="322"/>
      <x:c r="K33" s="322"/>
      <x:c r="L33" s="322"/>
      <x:c r="M33" s="322"/>
      <x:c r="N33" s="322"/>
    </x:row>
    <x:row r="34" ht="14.5" hidden="0" customHeight="1">
      <x:c r="A34" s="322"/>
      <x:c r="B34" s="322"/>
      <x:c r="C34" s="322"/>
      <x:c r="D34" s="322"/>
      <x:c r="E34" s="322"/>
      <x:c r="F34" s="322"/>
      <x:c r="G34" s="322"/>
      <x:c r="H34" s="322"/>
      <x:c r="I34" s="322"/>
      <x:c r="J34" s="322"/>
      <x:c r="K34" s="322"/>
      <x:c r="L34" s="322"/>
      <x:c r="M34" s="322"/>
      <x:c r="N34" s="322"/>
    </x:row>
    <x:row r="35">
      <x:c r="L35"/>
    </x:row>
    <x:row r="36" ht="15">
      <x:c r="A36"/>
    </x:row>
    <x:row r="37" ht="16">
      <x:c r="A37"/>
    </x:row>
    <x:row r="38" ht="16">
      <x:c r="A38"/>
    </x:row>
    <x:row r="39" ht="16">
      <x:c r="A39"/>
    </x:row>
    <x:row r="40" ht="16">
      <x:c r="A40"/>
    </x:row>
  </x:sheetData>
  <x:mergeCells>
    <x:mergeCell ref="A1:N2"/>
    <x:mergeCell ref="A3:N3"/>
    <x:mergeCell ref="A5:H5"/>
    <x:mergeCell ref="J5:N5"/>
    <x:mergeCell ref="J12:N12"/>
  </x:mergeCells>
  <x:pageMargins left="0.7" right="0.7" top="0.75" bottom="0.75" header="0.3" footer="0.3"/>
  <x:drawing xmlns:r="http://schemas.openxmlformats.org/officeDocument/2006/relationships" r:id="R0404484c0fde4e77"/>
</x:worksheet>
</file>

<file path=xl/worksheets/sheet3.xml><?xml version="1.0" encoding="utf-8"?>
<x:worksheet xmlns:x="http://schemas.openxmlformats.org/spreadsheetml/2006/main">
  <x:sheetPr>
    <x:tabColor theme="8" tint="0.59999"/>
  </x:sheetPr>
  <x:sheetViews>
    <x:sheetView showGridLines="0" workbookViewId="0"/>
  </x:sheetViews>
  <x:sheetFormatPr defaultColWidth="9.1796875" defaultRowHeight="14.5"/>
  <x:cols>
    <x:col min="1" max="1" width="12" style="78" hidden="0" customWidth="1"/>
    <x:col min="2" max="2" width="38" style="78" hidden="0" customWidth="1"/>
    <x:col min="3" max="3" width="37" style="78" hidden="0" customWidth="1"/>
    <x:col min="4" max="4" width="30" style="78" hidden="0" customWidth="1"/>
    <x:col min="5" max="5" width="31" style="78" hidden="0" customWidth="1"/>
    <x:col min="6" max="6" width="20" style="78" hidden="0" customWidth="1"/>
    <x:col min="7" max="7" width="19" style="78" hidden="0" customWidth="1"/>
    <x:col min="8" max="12" width="10.81640625" style="78" customWidth="1"/>
    <x:col min="13" max="13" width="25" style="78" hidden="0" customWidth="1"/>
    <x:col min="14" max="18" width="10.81640625" style="78" customWidth="1"/>
    <x:col min="19" max="19" width="13" style="78" hidden="0" customWidth="1"/>
    <x:col min="20" max="16384" width="9.1796875" style="78" customWidth="0"/>
    <x:col min="8" max="8" width="25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</x:cols>
  <x:sheetData>
    <x:row r="1" ht="34" customHeight="1">
      <x:c r="A1" s="1174" t="str">
        <x:v>ДЕРЕВО КПЭ ПРОЕКТА</x:v>
      </x:c>
      <x:c r="B1" s="1174" t="str">
        <x:v>ДЕРЕВО КПЭ ПРОЕКТА</x:v>
      </x:c>
      <x:c r="C1" s="1174" t="str">
        <x:v>ДЕРЕВО КПЭ ПРОЕКТА</x:v>
      </x:c>
      <x:c r="D1" s="1174" t="str">
        <x:v>ДЕРЕВО КПЭ ПРОЕКТА</x:v>
      </x:c>
      <x:c r="E1" s="1174" t="str">
        <x:v>ДЕРЕВО КПЭ ПРОЕКТА</x:v>
      </x:c>
      <x:c r="F1" s="1174" t="str">
        <x:v>ДЕРЕВО КПЭ ПРОЕКТА</x:v>
      </x:c>
      <x:c r="G1" s="1174" t="str">
        <x:v>ДЕРЕВО КПЭ ПРОЕКТА</x:v>
      </x:c>
      <x:c r="H1" s="1174" t="str">
        <x:v>ДЕРЕВО КПЭ ПРОЕКТА</x:v>
      </x:c>
      <x:c r="I1"/>
      <x:c r="J1"/>
      <x:c r="K1"/>
      <x:c r="L1"/>
      <x:c r="M1"/>
      <x:c r="N1"/>
      <x:c r="O1"/>
      <x:c r="P1"/>
      <x:c r="Q1"/>
      <x:c r="R1"/>
      <x:c r="S1"/>
    </x:row>
    <x:row r="2" ht="34" customHeight="1">
      <x:c r="A2" s="1174" t="str">
        <x:v>ДЕРЕВО КПЭ ПРОЕКТА</x:v>
      </x:c>
      <x:c r="B2" s="1174" t="str">
        <x:v>ДЕРЕВО КПЭ ПРОЕКТА</x:v>
      </x:c>
      <x:c r="C2" s="1174" t="str">
        <x:v>ДЕРЕВО КПЭ ПРОЕКТА</x:v>
      </x:c>
      <x:c r="D2" s="1174" t="str">
        <x:v>ДЕРЕВО КПЭ ПРОЕКТА</x:v>
      </x:c>
      <x:c r="E2" s="1174" t="str">
        <x:v>ДЕРЕВО КПЭ ПРОЕКТА</x:v>
      </x:c>
      <x:c r="F2" s="1174" t="str">
        <x:v>ДЕРЕВО КПЭ ПРОЕКТА</x:v>
      </x:c>
      <x:c r="G2" s="1174" t="str">
        <x:v>ДЕРЕВО КПЭ ПРОЕКТА</x:v>
      </x:c>
      <x:c r="H2" s="1174" t="str">
        <x:v>ДЕРЕВО КПЭ ПРОЕКТА</x:v>
      </x:c>
    </x:row>
    <x:row r="3" ht="28" customHeight="1">
      <x:c r="A3" s="1178" t="str">
        <x:v>Связь проблемы, физического параметра, операционного КПЭ и инвестиционного показателя.</x:v>
      </x:c>
      <x:c r="B3" s="1178" t="str">
        <x:v>Связь проблемы, физического параметра, операционного КПЭ и инвестиционного показателя.</x:v>
      </x:c>
      <x:c r="C3" s="1178" t="str">
        <x:v>Связь проблемы, физического параметра, операционного КПЭ и инвестиционного показателя.</x:v>
      </x:c>
      <x:c r="D3" s="1178" t="str">
        <x:v>Связь проблемы, физического параметра, операционного КПЭ и инвестиционного показателя.</x:v>
      </x:c>
      <x:c r="E3" s="1178" t="str">
        <x:v>Связь проблемы, физического параметра, операционного КПЭ и инвестиционного показателя.</x:v>
      </x:c>
      <x:c r="F3" s="1178" t="str">
        <x:v>Связь проблемы, физического параметра, операционного КПЭ и инвестиционного показателя.</x:v>
      </x:c>
      <x:c r="G3" s="1178" t="str">
        <x:v>Связь проблемы, физического параметра, операционного КПЭ и инвестиционного показателя.</x:v>
      </x:c>
      <x:c r="H3" s="1178" t="str">
        <x:v>Связь проблемы, физического параметра, операционного КПЭ и инвестиционного показателя.</x:v>
      </x:c>
      <x:c r="I3" s="1178" t="str">
        <x:v>Связь проблемы, физического параметра, операционного КПЭ и инвестиционного показателя.</x:v>
      </x:c>
      <x:c r="J3" s="1178" t="str">
        <x:v>Связь проблемы, физического параметра, операционного КПЭ и инвестиционного показателя.</x:v>
      </x:c>
      <x:c r="K3" s="1178" t="str">
        <x:v>Связь проблемы, физического параметра, операционного КПЭ и инвестиционного показателя.</x:v>
      </x:c>
      <x:c r="L3" s="1178" t="str">
        <x:v>Связь проблемы, физического параметра, операционного КПЭ и инвестиционного показателя.</x:v>
      </x:c>
      <x:c r="M3" s="1178" t="str">
        <x:v>Связь проблемы, физического параметра, операционного КПЭ и инвестиционного показателя.</x:v>
      </x:c>
      <x:c r="N3" s="1178" t="str">
        <x:v>Связь проблемы, физического параметра, операционного КПЭ и инвестиционного показателя.</x:v>
      </x:c>
      <x:c r="O3"/>
      <x:c r="P3"/>
      <x:c r="Q3"/>
      <x:c r="R3"/>
      <x:c r="S3"/>
    </x:row>
    <x:row r="4" ht="30" customHeight="1">
      <x:c r="A4" s="322"/>
      <x:c r="B4" s="322"/>
      <x:c r="C4" s="322"/>
      <x:c r="D4" s="322"/>
      <x:c r="E4" s="322"/>
      <x:c r="F4" s="322"/>
      <x:c r="G4" s="322"/>
      <x:c r="H4" s="322"/>
      <x:c r="I4"/>
      <x:c r="J4"/>
      <x:c r="K4"/>
      <x:c r="L4"/>
      <x:c r="M4"/>
      <x:c r="N4"/>
      <x:c r="O4"/>
      <x:c r="P4"/>
      <x:c r="Q4"/>
      <x:c r="R4"/>
      <x:c r="S4"/>
    </x:row>
    <x:row r="5" ht="14.5" hidden="0" customHeight="1">
      <x:c r="A5" s="1188" t="str">
        <x:v>№</x:v>
      </x:c>
      <x:c r="B5" s="1188" t="str">
        <x:v>Проблема / рычаг</x:v>
      </x:c>
      <x:c r="C5" s="1188" t="str">
        <x:v>Фактор</x:v>
      </x:c>
      <x:c r="D5" s="1188" t="str">
        <x:v>Физический параметр</x:v>
      </x:c>
      <x:c r="E5" s="1188" t="str">
        <x:v>Операционный КПЭ</x:v>
      </x:c>
      <x:c r="F5" s="1188" t="str">
        <x:v>Тип эффекта</x:v>
      </x:c>
      <x:c r="G5" s="1188" t="str">
        <x:v>Годовой эффект</x:v>
      </x:c>
      <x:c r="H5" s="1188" t="str">
        <x:v>Инвест. показатель</x:v>
      </x:c>
      <x:c r="I5"/>
      <x:c r="J5"/>
      <x:c r="K5"/>
      <x:c r="L5"/>
      <x:c r="M5"/>
      <x:c r="N5"/>
      <x:c r="O5"/>
      <x:c r="P5"/>
      <x:c r="Q5"/>
      <x:c r="R5"/>
      <x:c r="S5"/>
    </x:row>
    <x:row r="6" ht="44" hidden="0" customHeight="1">
      <x:c r="A6" s="1260" t="n">
        <x:v>1</x:v>
      </x:c>
      <x:c r="B6" s="1260" t="str">
        <x:v>Информационный шум и ручная фильтрация</x:v>
      </x:c>
      <x:c r="C6" s="1260" t="str">
        <x:v>Автоматическая корреляция и маршрутизация</x:v>
      </x:c>
      <x:c r="D6" s="1260" t="str">
        <x:v>48 ч/день → 19,2 ч/день</x:v>
      </x:c>
      <x:c r="E6" s="1260" t="str">
        <x:v>10 512 ч/год высвобождено</x:v>
      </x:c>
      <x:c r="F6" s="1260" t="str">
        <x:v>Косвенный</x:v>
      </x:c>
      <x:c r="G6" s="1724" t="n">
        <x:f>'Исходные данные'!C45</x:f>
        <x:v>4.4</x:v>
      </x:c>
      <x:c r="H6" s="1260" t="str">
        <x:v>UMV / J / DPP</x:v>
      </x:c>
      <x:c r="I6"/>
      <x:c r="J6"/>
      <x:c r="K6"/>
      <x:c r="L6"/>
      <x:c r="M6"/>
      <x:c r="N6"/>
      <x:c r="O6"/>
      <x:c r="P6"/>
      <x:c r="Q6"/>
      <x:c r="R6"/>
      <x:c r="S6"/>
    </x:row>
    <x:row r="7" ht="44" hidden="0" customHeight="1">
      <x:c r="A7" s="1251" t="n">
        <x:v>2</x:v>
      </x:c>
      <x:c r="B7" s="1251" t="str">
        <x:v>Незамеченные критические инциденты</x:v>
      </x:c>
      <x:c r="C7" s="1251" t="str">
        <x:v>Адресная доставка и эскалация</x:v>
      </x:c>
      <x:c r="D7" s="1251" t="str">
        <x:v>3,2 млн руб. ущерба на инцидент</x:v>
      </x:c>
      <x:c r="E7" s="1251" t="str">
        <x:v>Ожидаемое снижение риска</x:v>
      </x:c>
      <x:c r="F7" s="1251" t="str">
        <x:v>Трудноизмеримый</x:v>
      </x:c>
      <x:c r="G7" s="1725" t="n">
        <x:f>'Исходные данные'!C54</x:f>
        <x:v>1.2000000000000002</x:v>
      </x:c>
      <x:c r="H7" s="1251" t="str">
        <x:v>DMV / J / DPP</x:v>
      </x:c>
      <x:c r="I7"/>
      <x:c r="J7"/>
      <x:c r="K7"/>
      <x:c r="L7"/>
      <x:c r="M7"/>
      <x:c r="N7"/>
      <x:c r="O7"/>
      <x:c r="P7"/>
      <x:c r="Q7"/>
      <x:c r="R7"/>
      <x:c r="S7"/>
      <x:c r="T7"/>
    </x:row>
    <x:row r="8" ht="44" hidden="0" customHeight="1">
      <x:c r="A8" s="1222" t="n">
        <x:v>3</x:v>
      </x:c>
      <x:c r="B8" s="1222" t="str">
        <x:v>Массовая рассылка P0</x:v>
      </x:c>
      <x:c r="C8" s="1222" t="str">
        <x:v>Ролевая маршрутизация</x:v>
      </x:c>
      <x:c r="D8" s="1222" t="str">
        <x:v>200 → 2 получателя</x:v>
      </x:c>
      <x:c r="E8" s="1222" t="str">
        <x:v>Сокращение адресатов на 99%</x:v>
      </x:c>
      <x:c r="F8" s="1222" t="str">
        <x:v>Нематериальный</x:v>
      </x:c>
      <x:c r="G8" s="1227" t="n">
        <x:v>0</x:v>
      </x:c>
      <x:c r="H8" s="1222" t="str">
        <x:v>Продуктовая метрика</x:v>
      </x:c>
      <x:c r="I8"/>
      <x:c r="J8"/>
      <x:c r="K8"/>
      <x:c r="L8"/>
      <x:c r="M8"/>
      <x:c r="N8"/>
      <x:c r="O8"/>
      <x:c r="P8"/>
      <x:c r="Q8"/>
      <x:c r="R8"/>
      <x:c r="S8"/>
    </x:row>
    <x:row r="9" ht="44" hidden="0" customHeight="1">
      <x:c r="A9" s="1222" t="n">
        <x:v>4</x:v>
      </x:c>
      <x:c r="B9" s="1222" t="str">
        <x:v>Высокая доля нерелевантных событий</x:v>
      </x:c>
      <x:c r="C9" s="1222" t="str">
        <x:v>Фильтрация и дедупликация</x:v>
      </x:c>
      <x:c r="D9" s="1222" t="str">
        <x:v>65% шум AS IS</x:v>
      </x:c>
      <x:c r="E9" s="1222" t="str">
        <x:v>Ложные срабатывания ≤5%</x:v>
      </x:c>
      <x:c r="F9" s="1222" t="str">
        <x:v>Нематериальный</x:v>
      </x:c>
      <x:c r="G9" s="1227" t="n">
        <x:v>0</x:v>
      </x:c>
      <x:c r="H9" s="1222" t="str">
        <x:v>Продуктовая метрика</x:v>
      </x:c>
      <x:c r="I9"/>
      <x:c r="J9"/>
      <x:c r="K9"/>
      <x:c r="L9"/>
      <x:c r="M9"/>
      <x:c r="N9"/>
      <x:c r="O9"/>
      <x:c r="P9"/>
      <x:c r="Q9"/>
      <x:c r="R9"/>
      <x:c r="S9"/>
    </x:row>
    <x:row r="10" ht="44" hidden="0" customHeight="1">
      <x:c r="A10" s="1222" t="n">
        <x:v>5</x:v>
      </x:c>
      <x:c r="B10" s="1222" t="str">
        <x:v>Длительное восстановление</x:v>
      </x:c>
      <x:c r="C10" s="1222" t="str">
        <x:v>Сценарии и контроль SLA</x:v>
      </x:c>
      <x:c r="D10" s="1222" t="str">
        <x:v>MTTR измеряется по инцидентам</x:v>
      </x:c>
      <x:c r="E10" s="1222" t="str">
        <x:v>MTTR ≤20 минут</x:v>
      </x:c>
      <x:c r="F10" s="1222" t="str">
        <x:v>Нематериальный</x:v>
      </x:c>
      <x:c r="G10" s="1227" t="n">
        <x:v>0</x:v>
      </x:c>
      <x:c r="H10" s="1222" t="str">
        <x:v>Продуктовая метрика</x:v>
      </x:c>
      <x:c r="I10"/>
      <x:c r="J10"/>
      <x:c r="K10"/>
      <x:c r="L10"/>
      <x:c r="M10"/>
      <x:c r="N10"/>
      <x:c r="O10"/>
      <x:c r="P10"/>
      <x:c r="Q10"/>
      <x:c r="R10"/>
      <x:c r="S10"/>
    </x:row>
    <x:row r="11" ht="44" hidden="0" customHeight="1">
      <x:c r="A11" s="1222" t="n">
        <x:v>6</x:v>
      </x:c>
      <x:c r="B11" s="1222" t="str">
        <x:v>Разрозненные системы мониторинга</x:v>
      </x:c>
      <x:c r="C11" s="1222" t="str">
        <x:v>Единый шлюз событий</x:v>
      </x:c>
      <x:c r="D11" s="1222" t="str">
        <x:v>5 400 событий/сутки</x:v>
      </x:c>
      <x:c r="E11" s="1222" t="str">
        <x:v>Единая обработка 7 систем</x:v>
      </x:c>
      <x:c r="F11" s="1222" t="str">
        <x:v>Нематериальный</x:v>
      </x:c>
      <x:c r="G11" s="1227" t="n">
        <x:v>0</x:v>
      </x:c>
      <x:c r="H11" s="1222" t="str">
        <x:v>Продуктовая метрика</x:v>
      </x:c>
      <x:c r="I11"/>
      <x:c r="J11"/>
      <x:c r="K11"/>
      <x:c r="L11"/>
      <x:c r="M11"/>
      <x:c r="N11"/>
      <x:c r="O11"/>
      <x:c r="P11"/>
      <x:c r="Q11"/>
      <x:c r="R11"/>
      <x:c r="S11"/>
    </x:row>
    <x:row r="12" ht="44" hidden="0" customHeight="1">
      <x:c r="A12" s="1262" t="n">
        <x:v>7</x:v>
      </x:c>
      <x:c r="B12" s="1262" t="str">
        <x:v>Неопределенная реализация эффекта</x:v>
      </x:c>
      <x:c r="C12" s="1262" t="str">
        <x:v>Контроль коэффициента реализации</x:v>
      </x:c>
      <x:c r="D12" s="1262" t="str">
        <x:v>21,024 млн потенциала</x:v>
      </x:c>
      <x:c r="E12" s="1262" t="str">
        <x:v>4,4 млн признанного эффекта</x:v>
      </x:c>
      <x:c r="F12" s="1262" t="str">
        <x:v>Контроль</x:v>
      </x:c>
      <x:c r="G12" s="1719" t="n">
        <x:f>'Исходные данные'!C45</x:f>
        <x:v>4.4</x:v>
      </x:c>
      <x:c r="H12" s="1262" t="str">
        <x:v>Проверка консервативности</x:v>
      </x:c>
      <x:c r="I12"/>
      <x:c r="J12"/>
      <x:c r="K12"/>
      <x:c r="L12"/>
      <x:c r="M12"/>
      <x:c r="N12"/>
      <x:c r="O12"/>
      <x:c r="P12"/>
      <x:c r="Q12"/>
      <x:c r="R12"/>
      <x:c r="S12"/>
    </x:row>
    <x:row r="13" ht="44" hidden="0" customHeight="1">
      <x:c r="A13" s="322"/>
      <x:c r="B13" s="322"/>
      <x:c r="C13" s="322"/>
      <x:c r="D13" s="322"/>
      <x:c r="E13" s="322"/>
      <x:c r="F13" s="322"/>
      <x:c r="G13" s="322"/>
      <x:c r="H13" s="322"/>
      <x:c r="I13"/>
      <x:c r="J13"/>
      <x:c r="K13"/>
      <x:c r="L13"/>
      <x:c r="M13"/>
      <x:c r="N13"/>
      <x:c r="O13"/>
      <x:c r="P13"/>
      <x:c r="Q13"/>
      <x:c r="R13"/>
      <x:c r="S13"/>
    </x:row>
    <x:row r="14" ht="44" hidden="0" customHeight="1">
      <x:c r="A14" s="322"/>
      <x:c r="B14" s="322"/>
      <x:c r="C14" s="322"/>
      <x:c r="D14" s="322"/>
      <x:c r="E14" s="322"/>
      <x:c r="F14" s="322"/>
      <x:c r="G14" s="322"/>
      <x:c r="H14" s="322"/>
      <x:c r="I14"/>
      <x:c r="J14"/>
      <x:c r="K14"/>
      <x:c r="L14"/>
      <x:c r="M14"/>
      <x:c r="N14"/>
      <x:c r="O14">
        <x:f t="shared" ref="O14:Q14" si="0">0</x:f>
      </x:c>
      <x:c r="P14">
        <x:f t="shared" si="0"/>
      </x:c>
      <x:c r="Q14">
        <x:f t="shared" si="0"/>
      </x:c>
      <x:c r="R14"/>
      <x:c r="S14"/>
    </x:row>
    <x:row r="15" ht="44" hidden="0" customHeight="1">
      <x:c r="A15" s="1219" t="str">
        <x:v>Ключевые продуктовые метрики приемки</x:v>
      </x:c>
      <x:c r="B15" s="1219" t="str">
        <x:v>Ключевые продуктовые метрики приемки</x:v>
      </x:c>
      <x:c r="C15" s="1219" t="str">
        <x:v>Ключевые продуктовые метрики приемки</x:v>
      </x:c>
      <x:c r="D15" s="1219" t="str">
        <x:v>Ключевые продуктовые метрики приемки</x:v>
      </x:c>
      <x:c r="E15" s="1219" t="str">
        <x:v>Ключевые продуктовые метрики приемки</x:v>
      </x:c>
      <x:c r="F15" s="1219" t="str">
        <x:v>Ключевые продуктовые метрики приемки</x:v>
      </x:c>
      <x:c r="G15" s="1219" t="str">
        <x:v>Ключевые продуктовые метрики приемки</x:v>
      </x:c>
      <x:c r="H15" s="1219" t="str">
        <x:v>Ключевые продуктовые метрики приемки</x:v>
      </x:c>
      <x:c r="I15"/>
      <x:c r="J15"/>
      <x:c r="K15"/>
      <x:c r="L15"/>
      <x:c r="M15"/>
      <x:c r="N15"/>
      <x:c r="O15">
        <x:f t="shared" ref="O15:R15" si="1">O7+O13</x:f>
      </x:c>
      <x:c r="P15">
        <x:f t="shared" si="1"/>
      </x:c>
      <x:c r="Q15">
        <x:f t="shared" si="1"/>
      </x:c>
      <x:c r="R15">
        <x:f t="shared" si="1"/>
      </x:c>
      <x:c r="S15">
        <x:f t="shared" ref="S15:S16" si="2">SUM(N15:R15)</x:f>
      </x:c>
    </x:row>
    <x:row r="16" ht="44" hidden="0" customHeight="1">
      <x:c r="A16" s="1188" t="str">
        <x:v>Метрика</x:v>
      </x:c>
      <x:c r="B16" s="1188" t="str">
        <x:v>AS IS</x:v>
      </x:c>
      <x:c r="C16" s="1188" t="str">
        <x:v>TO BE / цель</x:v>
      </x:c>
      <x:c r="D16" s="1188" t="str">
        <x:v>Изменение</x:v>
      </x:c>
      <x:c r="E16" s="322"/>
      <x:c r="F16" s="322"/>
      <x:c r="G16" s="322"/>
      <x:c r="H16" s="322"/>
      <x:c r="I16"/>
      <x:c r="J16"/>
      <x:c r="K16"/>
      <x:c r="L16"/>
      <x:c r="M16"/>
      <x:c r="N16"/>
      <x:c r="O16">
        <x:f t="shared" ref="O16:R16" si="3">O12</x:f>
      </x:c>
      <x:c r="P16">
        <x:f t="shared" si="3"/>
      </x:c>
      <x:c r="Q16">
        <x:f t="shared" si="3"/>
      </x:c>
      <x:c r="R16">
        <x:f t="shared" si="3"/>
      </x:c>
      <x:c r="S16">
        <x:f t="shared" si="2"/>
      </x:c>
    </x:row>
    <x:row r="17" ht="44" hidden="0" customHeight="1">
      <x:c r="A17" s="1220" t="str">
        <x:v>Ручная фильтрация, ч/день</x:v>
      </x:c>
      <x:c r="B17" s="1726" t="n">
        <x:f>'Исходные данные'!C36</x:f>
        <x:v>48</x:v>
      </x:c>
      <x:c r="C17" s="1726" t="n">
        <x:f>'Исходные данные'!C36*(1-'Исходные данные'!C37)</x:f>
        <x:v>19.200000000000003</x:v>
      </x:c>
      <x:c r="D17" s="1220" t="n">
        <x:f>B17-C17</x:f>
        <x:v>28.799999999999997</x:v>
      </x:c>
      <x:c r="E17" s="322"/>
      <x:c r="F17" s="322"/>
      <x:c r="G17" s="322"/>
      <x:c r="H17" s="322"/>
      <x:c r="I17"/>
      <x:c r="J17"/>
      <x:c r="K17"/>
      <x:c r="L17"/>
      <x:c r="M17"/>
      <x:c r="N17"/>
      <x:c r="O17"/>
      <x:c r="P17"/>
      <x:c r="Q17"/>
      <x:c r="R17"/>
      <x:c r="S17"/>
    </x:row>
    <x:row r="18" ht="44" hidden="0" customHeight="1">
      <x:c r="A18" s="1222" t="str">
        <x:v>Информационный шум / false positive</x:v>
      </x:c>
      <x:c r="B18" s="1727" t="n">
        <x:f>'Исходные данные'!C63</x:f>
        <x:v>0.65</x:v>
      </x:c>
      <x:c r="C18" s="1727" t="n">
        <x:f>'Исходные данные'!C64</x:f>
        <x:v>0.05</x:v>
      </x:c>
      <x:c r="D18" s="1224" t="n">
        <x:f>B18-C18</x:f>
        <x:v>0.6</x:v>
      </x:c>
      <x:c r="E18" s="322"/>
      <x:c r="F18" s="322"/>
      <x:c r="G18" s="322"/>
      <x:c r="H18" s="322"/>
      <x:c r="I18"/>
      <x:c r="J18"/>
      <x:c r="K18"/>
      <x:c r="L18"/>
      <x:c r="M18"/>
      <x:c r="N18"/>
      <x:c r="O18">
        <x:f t="shared" ref="O18:R18" si="4">SUM(O14:O16)</x:f>
      </x:c>
      <x:c r="P18">
        <x:f t="shared" si="4"/>
      </x:c>
      <x:c r="Q18">
        <x:f t="shared" si="4"/>
      </x:c>
      <x:c r="R18">
        <x:f t="shared" si="4"/>
      </x:c>
      <x:c r="S18"/>
    </x:row>
    <x:row r="19" ht="44" customHeight="1">
      <x:c r="A19" s="1222" t="str">
        <x:v>Получатели P0, чел.</x:v>
      </x:c>
      <x:c r="B19" s="1722" t="n">
        <x:f>'Исходные данные'!C65</x:f>
        <x:v>200</x:v>
      </x:c>
      <x:c r="C19" s="1722" t="n">
        <x:f>'Исходные данные'!C66</x:f>
        <x:v>2</x:v>
      </x:c>
      <x:c r="D19" s="1222" t="n">
        <x:f>B19-C19</x:f>
        <x:v>198</x:v>
      </x:c>
      <x:c r="E19" s="322"/>
      <x:c r="F19" s="322"/>
      <x:c r="G19" s="322"/>
      <x:c r="H19" s="322"/>
    </x:row>
    <x:row r="20" ht="44" customHeight="1">
      <x:c r="A20" s="1222" t="str">
        <x:v>MTTR</x:v>
      </x:c>
      <x:c r="B20" s="1222" t="str">
        <x:v>не задан в кейсе</x:v>
      </x:c>
      <x:c r="C20" s="1222" t="str">
        <x:v>≤20 минут</x:v>
      </x:c>
      <x:c r="D20" s="1222" t="str">
        <x:v>контроль после пилота</x:v>
      </x:c>
      <x:c r="E20" s="322"/>
      <x:c r="F20" s="322"/>
      <x:c r="G20" s="322"/>
      <x:c r="H20" s="322"/>
    </x:row>
    <x:row r="21" ht="44" customHeight="1">
      <x:c r="A21" s="1222" t="str">
        <x:v>Масштаб пилота</x:v>
      </x:c>
      <x:c r="B21" s="1222" t="str">
        <x:v>—</x:v>
      </x:c>
      <x:c r="C21" s="1222" t="str">
        <x:v>87 пользователей / 4 филиала</x:v>
      </x:c>
      <x:c r="D21" s="1222" t="str">
        <x:v>граница оценки</x:v>
      </x:c>
      <x:c r="E21" s="322"/>
      <x:c r="F21" s="322"/>
      <x:c r="G21" s="322"/>
      <x:c r="H21" s="322"/>
    </x:row>
    <x:row r="22">
      <x:c r="A22" s="322"/>
      <x:c r="B22" s="322"/>
      <x:c r="C22" s="322"/>
      <x:c r="D22" s="322"/>
      <x:c r="E22" s="322"/>
      <x:c r="F22" s="322"/>
      <x:c r="G22" s="322"/>
      <x:c r="H22" s="322"/>
      <x:c r="Q22"/>
      <x:c r="R22"/>
    </x:row>
    <x:row r="23">
      <x:c r="B23"/>
    </x:row>
    <x:row r="24">
      <x:c r="B24"/>
    </x:row>
    <x:row r="25">
      <x:c r="B25"/>
    </x:row>
  </x:sheetData>
  <x:mergeCells>
    <x:mergeCell ref="A1:H2"/>
    <x:mergeCell ref="A3:N3"/>
    <x:mergeCell ref="A15:H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theme="8" tint="0.79998"/>
  </x:sheetPr>
  <x:sheetViews>
    <x:sheetView showGridLines="0" workbookViewId="0"/>
  </x:sheetViews>
  <x:sheetFormatPr defaultRowHeight="14.5"/>
  <x:cols>
    <x:col min="1" max="1" width="34" hidden="0" customWidth="1"/>
    <x:col min="2" max="3" width="7.54296875" customWidth="1"/>
    <x:col min="4" max="4" width="16" style="122" hidden="0" customWidth="1"/>
    <x:col min="5" max="6" width="7.54296875" customWidth="1"/>
    <x:col min="7" max="7" width="3" style="122" hidden="0" customWidth="1"/>
    <x:col min="8" max="9" width="7.54296875" customWidth="1"/>
    <x:col min="10" max="10" width="18" style="122" hidden="0" customWidth="1"/>
    <x:col min="11" max="12" width="7.54296875" customWidth="1"/>
    <x:col min="13" max="13" width="11" style="122" hidden="0" customWidth="1"/>
    <x:col min="14" max="16" width="7.54296875" customWidth="1"/>
    <x:col min="2" max="2" width="16" hidden="0" customWidth="1"/>
    <x:col min="3" max="3" width="16" hidden="0" customWidth="1"/>
    <x:col min="5" max="5" width="16" hidden="0" customWidth="1"/>
    <x:col min="6" max="6" width="16" hidden="0" customWidth="1"/>
    <x:col min="8" max="8" width="34" hidden="0" customWidth="1"/>
    <x:col min="9" max="9" width="18" hidden="0" customWidth="1"/>
    <x:col min="11" max="11" width="18" hidden="0" customWidth="1"/>
    <x:col min="12" max="12" width="28" hidden="0" customWidth="1"/>
    <x:col min="14" max="14" width="11" hidden="0" customWidth="1"/>
    <x:col min="15" max="15" width="11" hidden="0" customWidth="1"/>
    <x:col min="16" max="16" width="11" hidden="0" customWidth="1"/>
  </x:cols>
  <x:sheetData>
    <x:row r="1" ht="34" customHeight="1">
      <x:c r="A1" s="1174" t="str">
        <x:v>ФАКТОРНЫЙ АНАЛИЗ И ЧУВСТВИТЕЛЬНОСТЬ</x:v>
      </x:c>
      <x:c r="B1" s="1174" t="str">
        <x:v>ФАКТОРНЫЙ АНАЛИЗ И ЧУВСТВИТЕЛЬНОСТЬ</x:v>
      </x:c>
      <x:c r="C1" s="1174" t="str">
        <x:v>ФАКТОРНЫЙ АНАЛИЗ И ЧУВСТВИТЕЛЬНОСТЬ</x:v>
      </x:c>
      <x:c r="D1" s="1174" t="str">
        <x:v>ФАКТОРНЫЙ АНАЛИЗ И ЧУВСТВИТЕЛЬНОСТЬ</x:v>
      </x:c>
      <x:c r="E1" s="1174" t="str">
        <x:v>ФАКТОРНЫЙ АНАЛИЗ И ЧУВСТВИТЕЛЬНОСТЬ</x:v>
      </x:c>
      <x:c r="F1" s="1174" t="str">
        <x:v>ФАКТОРНЫЙ АНАЛИЗ И ЧУВСТВИТЕЛЬНОСТЬ</x:v>
      </x:c>
      <x:c r="G1" s="1174" t="str">
        <x:v>ФАКТОРНЫЙ АНАЛИЗ И ЧУВСТВИТЕЛЬНОСТЬ</x:v>
      </x:c>
      <x:c r="H1" s="1174" t="str">
        <x:v>ФАКТОРНЫЙ АНАЛИЗ И ЧУВСТВИТЕЛЬНОСТЬ</x:v>
      </x:c>
      <x:c r="I1" s="1174" t="str">
        <x:v>ФАКТОРНЫЙ АНАЛИЗ И ЧУВСТВИТЕЛЬНОСТЬ</x:v>
      </x:c>
      <x:c r="J1" s="1174" t="str">
        <x:v>ФАКТОРНЫЙ АНАЛИЗ И ЧУВСТВИТЕЛЬНОСТЬ</x:v>
      </x:c>
      <x:c r="K1" s="1174" t="str">
        <x:v>ФАКТОРНЫЙ АНАЛИЗ И ЧУВСТВИТЕЛЬНОСТЬ</x:v>
      </x:c>
      <x:c r="L1" s="1174" t="str">
        <x:v>ФАКТОРНЫЙ АНАЛИЗ И ЧУВСТВИТЕЛЬНОСТЬ</x:v>
      </x:c>
      <x:c r="M1"/>
      <x:c r="N1"/>
      <x:c r="O1"/>
      <x:c r="P1"/>
    </x:row>
    <x:row r="2" ht="34" customHeight="1">
      <x:c r="A2" s="1174" t="str">
        <x:v>ФАКТОРНЫЙ АНАЛИЗ И ЧУВСТВИТЕЛЬНОСТЬ</x:v>
      </x:c>
      <x:c r="B2" s="1174" t="str">
        <x:v>ФАКТОРНЫЙ АНАЛИЗ И ЧУВСТВИТЕЛЬНОСТЬ</x:v>
      </x:c>
      <x:c r="C2" s="1174" t="str">
        <x:v>ФАКТОРНЫЙ АНАЛИЗ И ЧУВСТВИТЕЛЬНОСТЬ</x:v>
      </x:c>
      <x:c r="D2" s="1174" t="str">
        <x:v>ФАКТОРНЫЙ АНАЛИЗ И ЧУВСТВИТЕЛЬНОСТЬ</x:v>
      </x:c>
      <x:c r="E2" s="1174" t="str">
        <x:v>ФАКТОРНЫЙ АНАЛИЗ И ЧУВСТВИТЕЛЬНОСТЬ</x:v>
      </x:c>
      <x:c r="F2" s="1174" t="str">
        <x:v>ФАКТОРНЫЙ АНАЛИЗ И ЧУВСТВИТЕЛЬНОСТЬ</x:v>
      </x:c>
      <x:c r="G2" s="1174" t="str">
        <x:v>ФАКТОРНЫЙ АНАЛИЗ И ЧУВСТВИТЕЛЬНОСТЬ</x:v>
      </x:c>
      <x:c r="H2" s="1174" t="str">
        <x:v>ФАКТОРНЫЙ АНАЛИЗ И ЧУВСТВИТЕЛЬНОСТЬ</x:v>
      </x:c>
      <x:c r="I2" s="1174" t="str">
        <x:v>ФАКТОРНЫЙ АНАЛИЗ И ЧУВСТВИТЕЛЬНОСТЬ</x:v>
      </x:c>
      <x:c r="J2" s="1174" t="str">
        <x:v>ФАКТОРНЫЙ АНАЛИЗ И ЧУВСТВИТЕЛЬНОСТЬ</x:v>
      </x:c>
      <x:c r="K2" s="1174" t="str">
        <x:v>ФАКТОРНЫЙ АНАЛИЗ И ЧУВСТВИТЕЛЬНОСТЬ</x:v>
      </x:c>
      <x:c r="L2" s="1174" t="str">
        <x:v>ФАКТОРНЫЙ АНАЛИЗ И ЧУВСТВИТЕЛЬНОСТЬ</x:v>
      </x:c>
      <x:c r="M2"/>
      <x:c r="N2"/>
      <x:c r="O2"/>
      <x:c r="P2"/>
    </x:row>
    <x:row r="3" ht="28" customHeight="1">
      <x:c r="A3" s="1178" t="str">
        <x:v>Чувствительность ожидаемой цифровой денежной стоимости (DMV) к бюджету и реализации эффекта.</x:v>
      </x:c>
      <x:c r="B3" s="1178" t="str">
        <x:v>Чувствительность ожидаемой цифровой денежной стоимости (DMV) к бюджету и реализации эффекта.</x:v>
      </x:c>
      <x:c r="C3" s="1178" t="str">
        <x:v>Чувствительность ожидаемой цифровой денежной стоимости (DMV) к бюджету и реализации эффекта.</x:v>
      </x:c>
      <x:c r="D3" s="1178" t="str">
        <x:v>Чувствительность ожидаемой цифровой денежной стоимости (DMV) к бюджету и реализации эффекта.</x:v>
      </x:c>
      <x:c r="E3" s="1178" t="str">
        <x:v>Чувствительность ожидаемой цифровой денежной стоимости (DMV) к бюджету и реализации эффекта.</x:v>
      </x:c>
      <x:c r="F3" s="1178" t="str">
        <x:v>Чувствительность ожидаемой цифровой денежной стоимости (DMV) к бюджету и реализации эффекта.</x:v>
      </x:c>
      <x:c r="G3" s="1178" t="str">
        <x:v>Чувствительность ожидаемой цифровой денежной стоимости (DMV) к бюджету и реализации эффекта.</x:v>
      </x:c>
      <x:c r="H3" s="1178" t="str">
        <x:v>Чувствительность ожидаемой цифровой денежной стоимости (DMV) к бюджету и реализации эффекта.</x:v>
      </x:c>
      <x:c r="I3" s="1178" t="str">
        <x:v>Чувствительность ожидаемой цифровой денежной стоимости (DMV) к бюджету и реализации эффекта.</x:v>
      </x:c>
      <x:c r="J3" s="1178" t="str">
        <x:v>Чувствительность ожидаемой цифровой денежной стоимости (DMV) к бюджету и реализации эффекта.</x:v>
      </x:c>
      <x:c r="K3" s="1178" t="str">
        <x:v>Чувствительность ожидаемой цифровой денежной стоимости (DMV) к бюджету и реализации эффекта.</x:v>
      </x:c>
      <x:c r="L3" s="1178" t="str">
        <x:v>Чувствительность ожидаемой цифровой денежной стоимости (DMV) к бюджету и реализации эффекта.</x:v>
      </x:c>
      <x:c r="M3" s="1178" t="str">
        <x:v>Чувствительность ожидаемой цифровой денежной стоимости (DMV) к бюджету и реализации эффекта.</x:v>
      </x:c>
      <x:c r="N3" s="1178" t="str">
        <x:v>Чувствительность ожидаемой цифровой денежной стоимости (DMV) к бюджету и реализации эффекта.</x:v>
      </x:c>
    </x:row>
    <x:row r="4" ht="23" customHeight="1">
      <x:c r="A4" s="322"/>
      <x:c r="B4" s="322"/>
      <x:c r="C4" s="322"/>
      <x:c r="D4" s="322"/>
      <x:c r="E4" s="322"/>
      <x:c r="F4" s="322"/>
      <x:c r="G4" s="322"/>
      <x:c r="H4" s="322"/>
      <x:c r="I4" s="322"/>
      <x:c r="J4" s="322"/>
      <x:c r="K4" s="322"/>
      <x:c r="L4" s="322"/>
      <x:c r="M4"/>
      <x:c r="N4"/>
      <x:c r="O4"/>
      <x:c r="P4"/>
    </x:row>
    <x:row r="5" ht="24" customHeight="1">
      <x:c r="A5" s="1219" t="str">
        <x:v>1. Базовые драйверы</x:v>
      </x:c>
      <x:c r="B5" s="1219" t="str">
        <x:v>1. Базовые драйверы</x:v>
      </x:c>
      <x:c r="C5" s="1219" t="str">
        <x:v>1. Базовые драйверы</x:v>
      </x:c>
      <x:c r="D5" s="1219" t="str">
        <x:v>1. Базовые драйверы</x:v>
      </x:c>
      <x:c r="E5" s="1219" t="str">
        <x:v>1. Базовые драйверы</x:v>
      </x:c>
      <x:c r="F5" s="1219" t="str">
        <x:v>1. Базовые драйверы</x:v>
      </x:c>
      <x:c r="G5" s="1219" t="str">
        <x:v>1. Базовые драйверы</x:v>
      </x:c>
      <x:c r="H5" s="1219" t="str">
        <x:v>3. Сценарии масштаба</x:v>
      </x:c>
      <x:c r="I5" s="1219" t="str">
        <x:v>3. Сценарии масштаба</x:v>
      </x:c>
      <x:c r="J5" s="1219" t="str">
        <x:v>3. Сценарии масштаба</x:v>
      </x:c>
      <x:c r="K5" s="1219" t="str">
        <x:v>3. Сценарии масштаба</x:v>
      </x:c>
      <x:c r="L5" s="1219" t="str">
        <x:v>3. Сценарии масштаба</x:v>
      </x:c>
    </x:row>
    <x:row r="6" ht="14.5" hidden="0" customHeight="1">
      <x:c r="A6" s="1188" t="str">
        <x:v>Драйвер</x:v>
      </x:c>
      <x:c r="B6" s="1188" t="str">
        <x:v>База</x:v>
      </x:c>
      <x:c r="C6" s="1188" t="str">
        <x:v>Стресс</x:v>
      </x:c>
      <x:c r="D6" s="1188" t="str">
        <x:v>Отклонение</x:v>
      </x:c>
      <x:c r="E6" s="322"/>
      <x:c r="F6" s="322"/>
      <x:c r="G6" s="322"/>
      <x:c r="H6" s="1188" t="str">
        <x:v>Сценарий</x:v>
      </x:c>
      <x:c r="I6" s="1188" t="str">
        <x:v>CAPEX</x:v>
      </x:c>
      <x:c r="J6" s="1188" t="str">
        <x:v>OPEX/год</x:v>
      </x:c>
      <x:c r="K6" s="1188" t="str">
        <x:v>Эффект/год</x:v>
      </x:c>
      <x:c r="L6" s="1188" t="str">
        <x:v>Вывод</x:v>
      </x:c>
      <x:c r="M6"/>
      <x:c r="N6"/>
      <x:c r="O6"/>
      <x:c r="P6"/>
    </x:row>
    <x:row r="7" ht="30" hidden="0" customHeight="1">
      <x:c r="A7" s="1220" t="str">
        <x:v>CAPEX пилота, млн руб.</x:v>
      </x:c>
      <x:c r="B7" s="1716" t="n">
        <x:f>'Исходные данные'!C27</x:f>
        <x:v>21.175</x:v>
      </x:c>
      <x:c r="C7" s="1232" t="n">
        <x:f>B7*1.15</x:f>
        <x:v>24.35125</x:v>
      </x:c>
      <x:c r="D7" s="1245" t="n">
        <x:f>C7/B7-1</x:f>
        <x:v>0.1499999999999999</x:v>
      </x:c>
      <x:c r="E7" s="322"/>
      <x:c r="F7" s="322"/>
      <x:c r="G7" s="322"/>
      <x:c r="H7" s="1220" t="str">
        <x:v>Пилот: только UMV</x:v>
      </x:c>
      <x:c r="I7" s="1716" t="n">
        <x:f>'Исходные данные'!C27</x:f>
        <x:v>21.175</x:v>
      </x:c>
      <x:c r="J7" s="1716" t="n">
        <x:f>'Исходные данные'!C32</x:f>
        <x:v>1.51</x:v>
      </x:c>
      <x:c r="K7" s="1716" t="n">
        <x:f>'Исходные данные'!C45</x:f>
        <x:v>4.4</x:v>
      </x:c>
      <x:c r="L7" s="1220" t="str">
        <x:v>Консервативный</x:v>
      </x:c>
      <x:c r="M7"/>
      <x:c r="N7"/>
      <x:c r="O7"/>
      <x:c r="P7"/>
    </x:row>
    <x:row r="8" ht="30" hidden="0" customHeight="1">
      <x:c r="A8" s="1222" t="str">
        <x:v>Признанный эффект ФОТ, млн руб./год</x:v>
      </x:c>
      <x:c r="B8" s="1723" t="n">
        <x:f>'Исходные данные'!C45</x:f>
        <x:v>4.4</x:v>
      </x:c>
      <x:c r="C8" s="1227" t="n">
        <x:f>B8*0.8</x:f>
        <x:v>3.5200000000000005</x:v>
      </x:c>
      <x:c r="D8" s="1224" t="n">
        <x:f>C8/B8-1</x:f>
        <x:v>-0.19999999999999996</x:v>
      </x:c>
      <x:c r="E8" s="322"/>
      <x:c r="F8" s="322"/>
      <x:c r="G8" s="322"/>
      <x:c r="H8" s="1222" t="str">
        <x:v>Пилот: UMV + DMV</x:v>
      </x:c>
      <x:c r="I8" s="1723" t="n">
        <x:f>'Исходные данные'!C27</x:f>
        <x:v>21.175</x:v>
      </x:c>
      <x:c r="J8" s="1723" t="n">
        <x:f>'Исходные данные'!C32</x:f>
        <x:v>1.51</x:v>
      </x:c>
      <x:c r="K8" s="1723" t="n">
        <x:f>'Исходные данные'!C45+'Исходные данные'!C54</x:f>
        <x:v>5.6000000000000005</x:v>
      </x:c>
      <x:c r="L8" s="1222" t="str">
        <x:v>Ожидаемый</x:v>
      </x:c>
      <x:c r="M8"/>
      <x:c r="N8"/>
      <x:c r="O8"/>
      <x:c r="P8"/>
    </x:row>
    <x:row r="9" ht="30" hidden="0" customHeight="1">
      <x:c r="A9" s="1222" t="str">
        <x:v>DMV риска, млн руб./год</x:v>
      </x:c>
      <x:c r="B9" s="1723" t="n">
        <x:f>'Исходные данные'!C54</x:f>
        <x:v>1.2000000000000002</x:v>
      </x:c>
      <x:c r="C9" s="1227" t="n">
        <x:f>B9*0.5</x:f>
        <x:v>0.6000000000000001</x:v>
      </x:c>
      <x:c r="D9" s="1224" t="n">
        <x:f>C9/B9-1</x:f>
        <x:v>-0.5</x:v>
      </x:c>
      <x:c r="E9" s="322"/>
      <x:c r="F9" s="322"/>
      <x:c r="G9" s="322"/>
      <x:c r="H9" s="1269" t="str">
        <x:v>Промышленный: эффект пилота</x:v>
      </x:c>
      <x:c r="I9" s="1717" t="n">
        <x:f>'Исходные данные'!C69</x:f>
        <x:v>140</x:v>
      </x:c>
      <x:c r="J9" s="1717" t="n">
        <x:f>'Исходные данные'!C70</x:f>
        <x:v>12</x:v>
      </x:c>
      <x:c r="K9" s="1717" t="n">
        <x:f>'Исходные данные'!C45+'Исходные данные'!C54</x:f>
        <x:v>5.6000000000000005</x:v>
      </x:c>
      <x:c r="L9" s="1269" t="str">
        <x:v>Неокупаемый масштаб</x:v>
      </x:c>
      <x:c r="M9"/>
      <x:c r="N9"/>
      <x:c r="O9"/>
      <x:c r="P9"/>
    </x:row>
    <x:row r="10" ht="30" hidden="0" customHeight="1">
      <x:c r="A10" s="1222" t="str">
        <x:v>OPEX, млн руб./год</x:v>
      </x:c>
      <x:c r="B10" s="1723" t="n">
        <x:f>'Исходные данные'!C32</x:f>
        <x:v>1.51</x:v>
      </x:c>
      <x:c r="C10" s="1227" t="n">
        <x:f>B10*1.15</x:f>
        <x:v>1.7365</x:v>
      </x:c>
      <x:c r="D10" s="1224" t="n">
        <x:f>C10/B10-1</x:f>
        <x:v>0.1499999999999999</x:v>
      </x:c>
      <x:c r="E10" s="322"/>
      <x:c r="F10" s="322"/>
      <x:c r="G10" s="322"/>
      <x:c r="H10" s="1222" t="str">
        <x:v>Пороговый эффект для J=1</x:v>
      </x:c>
      <x:c r="I10" s="1723" t="n">
        <x:f>'Исходные данные'!C27</x:f>
        <x:v>21.175</x:v>
      </x:c>
      <x:c r="J10" s="1723" t="n">
        <x:f>'Исходные данные'!C32</x:f>
        <x:v>1.51</x:v>
      </x:c>
      <x:c r="K10" s="1723" t="n">
        <x:f>('Исходные данные'!C27+5*'Исходные данные'!C32)/SUM('Исходные данные'!C59:C61)-0</x:f>
        <x:v>12.489130434782611</x:v>
      </x:c>
      <x:c r="L10" s="1222" t="str">
        <x:v>Минимум для окупаемости</x:v>
      </x:c>
      <x:c r="M10"/>
      <x:c r="N10"/>
      <x:c r="O10"/>
      <x:c r="P10"/>
    </x:row>
    <x:row r="11" ht="30" hidden="0" customHeight="1">
      <x:c r="A11" s="1222" t="str">
        <x:v>Ставка дисконтирования</x:v>
      </x:c>
      <x:c r="B11" s="1727" t="n">
        <x:f>'Исходные данные'!C9</x:f>
        <x:v>0.15500000000000003</x:v>
      </x:c>
      <x:c r="C11" s="1224" t="n">
        <x:f>B11+0.03</x:f>
        <x:v>0.18500000000000003</x:v>
      </x:c>
      <x:c r="D11" s="1224" t="n">
        <x:f>C11-B11</x:f>
        <x:v>0.03</x:v>
      </x:c>
      <x:c r="E11" s="322"/>
      <x:c r="F11" s="322"/>
      <x:c r="G11" s="322"/>
      <x:c r="H11" s="322"/>
      <x:c r="I11" s="322"/>
      <x:c r="J11" s="322"/>
      <x:c r="K11" s="322"/>
      <x:c r="L11" s="322"/>
      <x:c r="M11"/>
      <x:c r="N11"/>
      <x:c r="O11"/>
      <x:c r="P11"/>
    </x:row>
    <x:row r="12" ht="30" hidden="0" customHeight="1">
      <x:c r="A12" s="1222" t="str">
        <x:v>Коэффициент реализации ресурса</x:v>
      </x:c>
      <x:c r="B12" s="1727" t="n">
        <x:f>'Исходные данные'!C44</x:f>
        <x:v>0.20928462709284631</x:v>
      </x:c>
      <x:c r="C12" s="1224" t="n">
        <x:f>B12*0.8</x:f>
        <x:v>0.16742770167427706</x:v>
      </x:c>
      <x:c r="D12" s="1224" t="n">
        <x:f>C12/B12-1</x:f>
        <x:v>-0.19999999999999996</x:v>
      </x:c>
      <x:c r="E12" s="322"/>
      <x:c r="F12" s="322"/>
      <x:c r="G12" s="322"/>
      <x:c r="H12" s="322"/>
      <x:c r="I12" s="322"/>
      <x:c r="J12" s="322"/>
      <x:c r="K12" s="322"/>
      <x:c r="L12" s="322"/>
      <x:c r="M12"/>
      <x:c r="N12"/>
      <x:c r="O12"/>
      <x:c r="P12"/>
    </x:row>
    <x:row r="13" ht="30" hidden="0" customHeight="1">
      <x:c r="A13" s="322"/>
      <x:c r="B13" s="322"/>
      <x:c r="C13" s="322"/>
      <x:c r="D13" s="322"/>
      <x:c r="E13" s="322"/>
      <x:c r="F13" s="322"/>
      <x:c r="G13" s="322"/>
      <x:c r="H13" s="322"/>
      <x:c r="I13" s="322"/>
      <x:c r="J13" s="322"/>
      <x:c r="K13" s="322"/>
      <x:c r="L13" s="322"/>
      <x:c r="M13"/>
      <x:c r="N13"/>
      <x:c r="O13"/>
      <x:c r="P13"/>
    </x:row>
    <x:row r="14" ht="30" hidden="0" customHeight="1">
      <x:c r="A14" s="322"/>
      <x:c r="B14" s="322"/>
      <x:c r="C14" s="322"/>
      <x:c r="D14" s="322"/>
      <x:c r="E14" s="322"/>
      <x:c r="F14" s="322"/>
      <x:c r="G14" s="322"/>
      <x:c r="H14" s="322"/>
      <x:c r="I14" s="322"/>
      <x:c r="J14" s="322"/>
      <x:c r="K14" s="322"/>
      <x:c r="L14" s="322"/>
      <x:c r="M14"/>
      <x:c r="N14">
        <x:f t="shared" ref="N14:N15" si="0">'Расчет эффектов'!$D$8</x:f>
      </x:c>
      <x:c r="O14"/>
      <x:c r="P14"/>
    </x:row>
    <x:row r="15" ht="30" hidden="0" customHeight="1">
      <x:c r="A15" s="1219" t="str">
        <x:v>2. DMV, млн руб.: эффект × бюджет</x:v>
      </x:c>
      <x:c r="B15" s="1219" t="str">
        <x:v>2. DMV, млн руб.: эффект × бюджет</x:v>
      </x:c>
      <x:c r="C15" s="1219" t="str">
        <x:v>2. DMV, млн руб.: эффект × бюджет</x:v>
      </x:c>
      <x:c r="D15" s="1219" t="str">
        <x:v>2. DMV, млн руб.: эффект × бюджет</x:v>
      </x:c>
      <x:c r="E15" s="1219" t="str">
        <x:v>2. DMV, млн руб.: эффект × бюджет</x:v>
      </x:c>
      <x:c r="F15" s="1219" t="str">
        <x:v>2. DMV, млн руб.: эффект × бюджет</x:v>
      </x:c>
      <x:c r="G15" s="1219" t="str">
        <x:v>2. DMV, млн руб.: эффект × бюджет</x:v>
      </x:c>
      <x:c r="H15" s="322"/>
      <x:c r="I15" s="322"/>
      <x:c r="J15" s="322"/>
      <x:c r="K15" s="322"/>
      <x:c r="L15" s="322"/>
      <x:c r="M15"/>
      <x:c r="N15">
        <x:f t="shared" si="0"/>
      </x:c>
      <x:c r="O15"/>
      <x:c r="P15"/>
    </x:row>
    <x:row r="16" ht="30" hidden="0" customHeight="1">
      <x:c r="A16" s="1188" t="str">
        <x:v>Эффект / CAPEX</x:v>
      </x:c>
      <x:c r="B16" s="1265" t="n">
        <x:v>0.7</x:v>
      </x:c>
      <x:c r="C16" s="1265" t="n">
        <x:v>0.85</x:v>
      </x:c>
      <x:c r="D16" s="1265" t="n">
        <x:v>1</x:v>
      </x:c>
      <x:c r="E16" s="1265" t="n">
        <x:v>1.15</x:v>
      </x:c>
      <x:c r="F16" s="1265" t="n">
        <x:v>1.3</x:v>
      </x:c>
      <x:c r="G16" s="322"/>
      <x:c r="H16" s="322"/>
      <x:c r="I16" s="322"/>
      <x:c r="J16" s="322"/>
      <x:c r="K16" s="322"/>
      <x:c r="L16" s="322"/>
      <x:c r="M16"/>
      <x:c r="N16"/>
      <x:c r="O16"/>
      <x:c r="P16"/>
    </x:row>
    <x:row r="17" ht="30" hidden="0" customHeight="1">
      <x:c r="A17" s="1265" t="n">
        <x:v>0.7</x:v>
      </x:c>
      <x:c r="B17" s="1728" t="n">
        <x:f>SUM('Расчет эффектов'!$C$29:$G$29*'Расчет эффектов'!$C$33:$G$33)*$A17-('Исходные данные'!$C$27*B$16*'Расчет эффектов'!$B$33+SUM('Расчет эффектов'!$C$25:$G$25*'Расчет эффектов'!$C$33:$G$33))</x:f>
        <x:v>-8.488988020342694</x:v>
      </x:c>
      <x:c r="C17" s="1728" t="n">
        <x:f>SUM('Расчет эффектов'!$C$29:$G$29*'Расчет эффектов'!$C$33:$G$33)*$A17-('Исходные данные'!$C$27*C$16*'Расчет эффектов'!$B$33+SUM('Расчет эффектов'!$C$25:$G$25*'Расчет эффектов'!$C$33:$G$33))</x:f>
        <x:v>-11.444438493620835</x:v>
      </x:c>
      <x:c r="D17" s="1728" t="n">
        <x:f>SUM('Расчет эффектов'!$C$29:$G$29*'Расчет эффектов'!$C$33:$G$33)*$A17-('Исходные данные'!$C$27*D$16*'Расчет эффектов'!$B$33+SUM('Расчет эффектов'!$C$25:$G$25*'Расчет эффектов'!$C$33:$G$33))</x:f>
        <x:v>-14.39988896689898</x:v>
      </x:c>
      <x:c r="E17" s="1728" t="n">
        <x:f>SUM('Расчет эффектов'!$C$29:$G$29*'Расчет эффектов'!$C$33:$G$33)*$A17-('Исходные данные'!$C$27*E$16*'Расчет эффектов'!$B$33+SUM('Расчет эффектов'!$C$25:$G$25*'Расчет эффектов'!$C$33:$G$33))</x:f>
        <x:v>-17.35533944017712</x:v>
      </x:c>
      <x:c r="F17" s="1728" t="n">
        <x:f>SUM('Расчет эффектов'!$C$29:$G$29*'Расчет эффектов'!$C$33:$G$33)*$A17-('Исходные данные'!$C$27*F$16*'Расчет эффектов'!$B$33+SUM('Расчет эффектов'!$C$25:$G$25*'Расчет эффектов'!$C$33:$G$33))</x:f>
        <x:v>-20.310789913455267</x:v>
      </x:c>
      <x:c r="G17" s="322"/>
      <x:c r="H17" s="322"/>
      <x:c r="I17" s="322"/>
      <x:c r="J17" s="322"/>
      <x:c r="K17" s="322"/>
      <x:c r="L17" s="322"/>
      <x:c r="M17"/>
      <x:c r="N17"/>
      <x:c r="O17"/>
      <x:c r="P17"/>
    </x:row>
    <x:row r="18" ht="30" hidden="0" customHeight="1">
      <x:c r="A18" s="1265" t="n">
        <x:v>0.85</x:v>
      </x:c>
      <x:c r="B18" s="1728" t="n">
        <x:f>SUM('Расчет эффектов'!$C$29:$G$29*'Расчет эффектов'!$C$33:$G$33)*$A18-('Исходные данные'!$C$27*B$16*'Расчет эффектов'!$B$33+SUM('Расчет эффектов'!$C$25:$G$25*'Расчет эффектов'!$C$33:$G$33))</x:f>
        <x:v>-6.3551795239602615</x:v>
      </x:c>
      <x:c r="C18" s="1728" t="n">
        <x:f>SUM('Расчет эффектов'!$C$29:$G$29*'Расчет эффектов'!$C$33:$G$33)*$A18-('Исходные данные'!$C$27*C$16*'Расчет эффектов'!$B$33+SUM('Расчет эффектов'!$C$25:$G$25*'Расчет эффектов'!$C$33:$G$33))</x:f>
        <x:v>-9.310629997238403</x:v>
      </x:c>
      <x:c r="D18" s="1728" t="n">
        <x:f>SUM('Расчет эффектов'!$C$29:$G$29*'Расчет эффектов'!$C$33:$G$33)*$A18-('Исходные данные'!$C$27*D$16*'Расчет эффектов'!$B$33+SUM('Расчет эффектов'!$C$25:$G$25*'Расчет эффектов'!$C$33:$G$33))</x:f>
        <x:v>-12.266080470516547</x:v>
      </x:c>
      <x:c r="E18" s="1728" t="n">
        <x:f>SUM('Расчет эффектов'!$C$29:$G$29*'Расчет эффектов'!$C$33:$G$33)*$A18-('Исходные данные'!$C$27*E$16*'Расчет эффектов'!$B$33+SUM('Расчет эффектов'!$C$25:$G$25*'Расчет эффектов'!$C$33:$G$33))</x:f>
        <x:v>-15.221530943794688</x:v>
      </x:c>
      <x:c r="F18" s="1728" t="n">
        <x:f>SUM('Расчет эффектов'!$C$29:$G$29*'Расчет эффектов'!$C$33:$G$33)*$A18-('Исходные данные'!$C$27*F$16*'Расчет эффектов'!$B$33+SUM('Расчет эффектов'!$C$25:$G$25*'Расчет эффектов'!$C$33:$G$33))</x:f>
        <x:v>-18.17698141707283</x:v>
      </x:c>
      <x:c r="G18" s="322"/>
      <x:c r="H18" s="322"/>
      <x:c r="I18" s="322"/>
      <x:c r="J18" s="322"/>
      <x:c r="K18" s="322"/>
      <x:c r="L18" s="322"/>
      <x:c r="M18"/>
      <x:c r="N18"/>
      <x:c r="O18"/>
      <x:c r="P18"/>
    </x:row>
    <x:row r="19" ht="30" customHeight="1">
      <x:c r="A19" s="1265" t="n">
        <x:v>1</x:v>
      </x:c>
      <x:c r="B19" s="1728" t="n">
        <x:f>SUM('Расчет эффектов'!$C$29:$G$29*'Расчет эффектов'!$C$33:$G$33)*$A19-('Исходные данные'!$C$27*B$16*'Расчет эффектов'!$B$33+SUM('Расчет эффектов'!$C$25:$G$25*'Расчет эффектов'!$C$33:$G$33))</x:f>
        <x:v>-4.221371027577828</x:v>
      </x:c>
      <x:c r="C19" s="1728" t="n">
        <x:f>SUM('Расчет эффектов'!$C$29:$G$29*'Расчет эффектов'!$C$33:$G$33)*$A19-('Исходные данные'!$C$27*C$16*'Расчет эффектов'!$B$33+SUM('Расчет эффектов'!$C$25:$G$25*'Расчет эффектов'!$C$33:$G$33))</x:f>
        <x:v>-7.176821500855969</x:v>
      </x:c>
      <x:c r="D19" s="1728" t="n">
        <x:f>SUM('Расчет эффектов'!$C$29:$G$29*'Расчет эффектов'!$C$33:$G$33)*$A19-('Исходные данные'!$C$27*D$16*'Расчет эффектов'!$B$33+SUM('Расчет эффектов'!$C$25:$G$25*'Расчет эффектов'!$C$33:$G$33))</x:f>
        <x:v>-10.132271974134113</x:v>
      </x:c>
      <x:c r="E19" s="1728" t="n">
        <x:f>SUM('Расчет эффектов'!$C$29:$G$29*'Расчет эффектов'!$C$33:$G$33)*$A19-('Исходные данные'!$C$27*E$16*'Расчет эффектов'!$B$33+SUM('Расчет эффектов'!$C$25:$G$25*'Расчет эффектов'!$C$33:$G$33))</x:f>
        <x:v>-13.087722447412254</x:v>
      </x:c>
      <x:c r="F19" s="1728" t="n">
        <x:f>SUM('Расчет эффектов'!$C$29:$G$29*'Расчет эффектов'!$C$33:$G$33)*$A19-('Исходные данные'!$C$27*F$16*'Расчет эффектов'!$B$33+SUM('Расчет эффектов'!$C$25:$G$25*'Расчет эффектов'!$C$33:$G$33))</x:f>
        <x:v>-16.0431729206904</x:v>
      </x:c>
      <x:c r="G19" s="322"/>
      <x:c r="H19" s="322"/>
      <x:c r="I19" s="322"/>
      <x:c r="J19" s="322"/>
      <x:c r="K19" s="322"/>
      <x:c r="L19" s="322"/>
      <x:c r="M19"/>
      <x:c r="N19"/>
    </x:row>
    <x:row r="20" ht="30" customHeight="1">
      <x:c r="A20" s="1265" t="n">
        <x:v>1.15</x:v>
      </x:c>
      <x:c r="B20" s="1728" t="n">
        <x:f>SUM('Расчет эффектов'!$C$29:$G$29*'Расчет эффектов'!$C$33:$G$33)*$A20-('Исходные данные'!$C$27*B$16*'Расчет эффектов'!$B$33+SUM('Расчет эффектов'!$C$25:$G$25*'Расчет эффектов'!$C$33:$G$33))</x:f>
        <x:v>-2.0875625311953954</x:v>
      </x:c>
      <x:c r="C20" s="1728" t="n">
        <x:f>SUM('Расчет эффектов'!$C$29:$G$29*'Расчет эффектов'!$C$33:$G$33)*$A20-('Исходные данные'!$C$27*C$16*'Расчет эффектов'!$B$33+SUM('Расчет эффектов'!$C$25:$G$25*'Расчет эффектов'!$C$33:$G$33))</x:f>
        <x:v>-5.043013004473536</x:v>
      </x:c>
      <x:c r="D20" s="1728" t="n">
        <x:f>SUM('Расчет эффектов'!$C$29:$G$29*'Расчет эффектов'!$C$33:$G$33)*$A20-('Исходные данные'!$C$27*D$16*'Расчет эффектов'!$B$33+SUM('Расчет эффектов'!$C$25:$G$25*'Расчет эффектов'!$C$33:$G$33))</x:f>
        <x:v>-7.998463477751681</x:v>
      </x:c>
      <x:c r="E20" s="1728" t="n">
        <x:f>SUM('Расчет эффектов'!$C$29:$G$29*'Расчет эффектов'!$C$33:$G$33)*$A20-('Исходные данные'!$C$27*E$16*'Расчет эффектов'!$B$33+SUM('Расчет эффектов'!$C$25:$G$25*'Расчет эффектов'!$C$33:$G$33))</x:f>
        <x:v>-10.953913951029822</x:v>
      </x:c>
      <x:c r="F20" s="1728" t="n">
        <x:f>SUM('Расчет эффектов'!$C$29:$G$29*'Расчет эффектов'!$C$33:$G$33)*$A20-('Исходные данные'!$C$27*F$16*'Расчет эффектов'!$B$33+SUM('Расчет эффектов'!$C$25:$G$25*'Расчет эффектов'!$C$33:$G$33))</x:f>
        <x:v>-13.909364424307967</x:v>
      </x:c>
      <x:c r="G20" s="322"/>
      <x:c r="H20" s="322"/>
      <x:c r="I20" s="322"/>
      <x:c r="J20" s="322"/>
      <x:c r="K20" s="322"/>
      <x:c r="L20" s="322"/>
    </x:row>
    <x:row r="21" ht="30" customHeight="1">
      <x:c r="A21" s="1265" t="n">
        <x:v>1.3</x:v>
      </x:c>
      <x:c r="B21" s="1728" t="n">
        <x:f>SUM('Расчет эффектов'!$C$29:$G$29*'Расчет эффектов'!$C$33:$G$33)*$A21-('Исходные данные'!$C$27*B$16*'Расчет эффектов'!$B$33+SUM('Расчет эффектов'!$C$25:$G$25*'Расчет эффектов'!$C$33:$G$33))</x:f>
        <x:v>0.04624596518704038</x:v>
      </x:c>
      <x:c r="C21" s="1728" t="n">
        <x:f>SUM('Расчет эффектов'!$C$29:$G$29*'Расчет эффектов'!$C$33:$G$33)*$A21-('Исходные данные'!$C$27*C$16*'Расчет эффектов'!$B$33+SUM('Расчет эффектов'!$C$25:$G$25*'Расчет эффектов'!$C$33:$G$33))</x:f>
        <x:v>-2.9092045080911006</x:v>
      </x:c>
      <x:c r="D21" s="1728" t="n">
        <x:f>SUM('Расчет эффектов'!$C$29:$G$29*'Расчет эффектов'!$C$33:$G$33)*$A21-('Исходные данные'!$C$27*D$16*'Расчет эффектов'!$B$33+SUM('Расчет эффектов'!$C$25:$G$25*'Расчет эффектов'!$C$33:$G$33))</x:f>
        <x:v>-5.864654981369245</x:v>
      </x:c>
      <x:c r="E21" s="1728" t="n">
        <x:f>SUM('Расчет эффектов'!$C$29:$G$29*'Расчет эффектов'!$C$33:$G$33)*$A21-('Исходные данные'!$C$27*E$16*'Расчет эффектов'!$B$33+SUM('Расчет эффектов'!$C$25:$G$25*'Расчет эффектов'!$C$33:$G$33))</x:f>
        <x:v>-8.820105454647386</x:v>
      </x:c>
      <x:c r="F21" s="1728" t="n">
        <x:f>SUM('Расчет эффектов'!$C$29:$G$29*'Расчет эффектов'!$C$33:$G$33)*$A21-('Исходные данные'!$C$27*F$16*'Расчет эффектов'!$B$33+SUM('Расчет эффектов'!$C$25:$G$25*'Расчет эффектов'!$C$33:$G$33))</x:f>
        <x:v>-11.77555592792553</x:v>
      </x:c>
      <x:c r="G21" s="322"/>
      <x:c r="H21" s="322"/>
      <x:c r="I21" s="322"/>
      <x:c r="J21" s="322"/>
      <x:c r="K21" s="322"/>
      <x:c r="L21" s="322"/>
    </x:row>
    <x:row r="22">
      <x:c r="A22" s="322"/>
      <x:c r="B22" s="322"/>
      <x:c r="C22" s="322"/>
      <x:c r="D22" s="322"/>
      <x:c r="E22" s="322"/>
      <x:c r="F22" s="322"/>
      <x:c r="G22" s="322"/>
      <x:c r="H22" s="322"/>
      <x:c r="I22" s="322"/>
      <x:c r="J22" s="322"/>
      <x:c r="K22" s="322"/>
      <x:c r="L22" s="322"/>
      <x:c r="O22"/>
    </x:row>
    <x:row r="23">
      <x:c r="A23" s="322"/>
      <x:c r="B23" s="322"/>
      <x:c r="C23" s="322"/>
      <x:c r="D23" s="322"/>
      <x:c r="E23" s="322"/>
      <x:c r="F23" s="322"/>
      <x:c r="G23" s="322"/>
      <x:c r="H23" s="322"/>
      <x:c r="I23" s="322"/>
      <x:c r="J23" s="322"/>
      <x:c r="K23" s="322"/>
      <x:c r="L23" s="322"/>
    </x:row>
    <x:row r="24">
      <x:c r="A24" s="322"/>
      <x:c r="B24" s="322"/>
      <x:c r="C24" s="322"/>
      <x:c r="D24" s="322"/>
      <x:c r="E24" s="322"/>
      <x:c r="F24" s="322"/>
      <x:c r="G24" s="322"/>
      <x:c r="H24" s="322"/>
      <x:c r="I24" s="322"/>
      <x:c r="J24" s="322"/>
      <x:c r="K24" s="322"/>
      <x:c r="L24" s="322"/>
    </x:row>
    <x:row r="25">
      <x:c r="A25"/>
      <x:c r="B25"/>
    </x:row>
    <x:row r="26">
      <x:c r="L26"/>
    </x:row>
    <x:row r="27">
      <x:c r="A27"/>
    </x:row>
    <x:row r="28">
      <x:c r="A28"/>
    </x:row>
    <x:row r="29">
      <x:c r="A29"/>
    </x:row>
    <x:row r="30">
      <x:c r="A30"/>
    </x:row>
    <x:row r="32">
      <x:c r="A32"/>
    </x:row>
    <x:row r="33">
      <x:c r="A33"/>
    </x:row>
    <x:row r="35">
      <x:c r="A35"/>
    </x:row>
    <x:row r="36" ht="33" customHeight="1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</x:row>
    <x:row r="38">
      <x:c r="A38"/>
    </x:row>
  </x:sheetData>
  <x:mergeCells>
    <x:mergeCell ref="A1:L2"/>
    <x:mergeCell ref="A3:N3"/>
    <x:mergeCell ref="A5:G5"/>
    <x:mergeCell ref="A15:G15"/>
    <x:mergeCell ref="H5:L5"/>
  </x:mergeCells>
  <x:conditionalFormatting sqref="B17:F21">
    <x:cfRule type="colorScale" priority="1">
      <x:colorScale>
        <x:cfvo type="min"/>
        <x:cfvo type="percentile" val="50"/>
        <x:cfvo type="max"/>
        <x:color rgb="FFFCE8E6"/>
        <x:color rgb="FFFFF2CC"/>
        <x:color rgb="FFE8F3E8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9" hidden="0" customWidth="1"/>
    <x:col min="3" max="3" width="18" hidden="0" customWidth="1"/>
    <x:col min="4" max="4" width="17" hidden="0" customWidth="1"/>
    <x:col min="5" max="5" width="34" hidden="0" customWidth="1"/>
    <x:col min="6" max="6" width="42" hidden="0" customWidth="1"/>
    <x:col min="7" max="7" width="16" hidden="0" customWidth="1"/>
  </x:cols>
  <x:sheetData>
    <x:row r="1" ht="34" customHeight="1">
      <x:c r="A1" s="1174" t="str">
        <x:v>ИСХОДНЫЕ ДАННЫЕ ЭКОНОМИЧЕСКОЙ МОДЕЛИ</x:v>
      </x:c>
      <x:c r="B1" s="1174" t="str">
        <x:v>ИСХОДНЫЕ ДАННЫЕ ЭКОНОМИЧЕСКОЙ МОДЕЛИ</x:v>
      </x:c>
      <x:c r="C1" s="1174" t="str">
        <x:v>ИСХОДНЫЕ ДАННЫЕ ЭКОНОМИЧЕСКОЙ МОДЕЛИ</x:v>
      </x:c>
      <x:c r="D1" s="1174" t="str">
        <x:v>ИСХОДНЫЕ ДАННЫЕ ЭКОНОМИЧЕСКОЙ МОДЕЛИ</x:v>
      </x:c>
      <x:c r="E1" s="1174" t="str">
        <x:v>ИСХОДНЫЕ ДАННЫЕ ЭКОНОМИЧЕСКОЙ МОДЕЛИ</x:v>
      </x:c>
      <x:c r="F1" s="1174" t="str">
        <x:v>ИСХОДНЫЕ ДАННЫЕ ЭКОНОМИЧЕСКОЙ МОДЕЛИ</x:v>
      </x:c>
      <x:c r="G1" s="1174" t="str">
        <x:v>ИСХОДНЫЕ ДАННЫЕ ЭКОНОМИЧЕСКОЙ МОДЕЛИ</x:v>
      </x:c>
    </x:row>
    <x:row r="2" ht="34" customHeight="1">
      <x:c r="A2" s="1174" t="str">
        <x:v>ИСХОДНЫЕ ДАННЫЕ ЭКОНОМИЧЕСКОЙ МОДЕЛИ</x:v>
      </x:c>
      <x:c r="B2" s="1174" t="str">
        <x:v>ИСХОДНЫЕ ДАННЫЕ ЭКОНОМИЧЕСКОЙ МОДЕЛИ</x:v>
      </x:c>
      <x:c r="C2" s="1174" t="str">
        <x:v>ИСХОДНЫЕ ДАННЫЕ ЭКОНОМИЧЕСКОЙ МОДЕЛИ</x:v>
      </x:c>
      <x:c r="D2" s="1174" t="str">
        <x:v>ИСХОДНЫЕ ДАННЫЕ ЭКОНОМИЧЕСКОЙ МОДЕЛИ</x:v>
      </x:c>
      <x:c r="E2" s="1174" t="str">
        <x:v>ИСХОДНЫЕ ДАННЫЕ ЭКОНОМИЧЕСКОЙ МОДЕЛИ</x:v>
      </x:c>
      <x:c r="F2" s="1174" t="str">
        <x:v>ИСХОДНЫЕ ДАННЫЕ ЭКОНОМИЧЕСКОЙ МОДЕЛИ</x:v>
      </x:c>
      <x:c r="G2" s="1174" t="str">
        <x:v>ИСХОДНЫЕ ДАННЫЕ ЭКОНОМИЧЕСКОЙ МОДЕЛИ</x:v>
      </x:c>
    </x:row>
    <x:row r="3" ht="28" customHeight="1">
      <x:c r="A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B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C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D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E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F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G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H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I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J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K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L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M3" s="1178" t="str">
        <x:v>Пилот платформы интеллектуальной диспетчеризации оповещений. Денежные суммы указаны в млн рублей, если не указано иное.</x:v>
      </x:c>
      <x:c r="N3" s="1178" t="str">
        <x:v>Пилот платформы интеллектуальной диспетчеризации оповещений. Денежные суммы указаны в млн рублей, если не указано иное.</x:v>
      </x:c>
    </x:row>
    <x:row r="4">
      <x:c r="A4" s="322"/>
      <x:c r="B4" s="322"/>
      <x:c r="C4" s="322"/>
      <x:c r="D4" s="322"/>
      <x:c r="E4" s="322"/>
      <x:c r="F4" s="322"/>
      <x:c r="G4" s="322"/>
    </x:row>
    <x:row r="5" ht="24" hidden="0" customHeight="1">
      <x:c r="A5" s="1219" t="str">
        <x:v>1. Параметры расчета и дисконтирования</x:v>
      </x:c>
      <x:c r="B5" s="1219" t="str">
        <x:v>1. Параметры расчета и дисконтирования</x:v>
      </x:c>
      <x:c r="C5" s="1219" t="str">
        <x:v>1. Параметры расчета и дисконтирования</x:v>
      </x:c>
      <x:c r="D5" s="1219" t="str">
        <x:v>1. Параметры расчета и дисконтирования</x:v>
      </x:c>
      <x:c r="E5" s="1219" t="str">
        <x:v>1. Параметры расчета и дисконтирования</x:v>
      </x:c>
      <x:c r="F5" s="1219" t="str">
        <x:v>1. Параметры расчета и дисконтирования</x:v>
      </x:c>
      <x:c r="G5" s="1219" t="str">
        <x:v>1. Параметры расчета и дисконтирования</x:v>
      </x:c>
    </x:row>
    <x:row r="6" ht="15" hidden="0" customHeight="1">
      <x:c r="A6" s="1188" t="str">
        <x:v>Параметр</x:v>
      </x:c>
      <x:c r="B6" s="1188" t="str">
        <x:v>Ед. изм.</x:v>
      </x:c>
      <x:c r="C6" s="1188" t="str">
        <x:v>Значение</x:v>
      </x:c>
      <x:c r="D6" s="1188" t="str">
        <x:v>Статус</x:v>
      </x:c>
      <x:c r="E6" s="1188" t="str">
        <x:v>Основание</x:v>
      </x:c>
      <x:c r="F6" s="1188" t="str">
        <x:v>Экономический смысл</x:v>
      </x:c>
      <x:c r="G6" s="1188" t="str">
        <x:v>В модели</x:v>
      </x:c>
    </x:row>
    <x:row r="7" ht="30" hidden="0" customHeight="1">
      <x:c r="A7" s="1220" t="str">
        <x:v>Ключевая ставка Банка России</x:v>
      </x:c>
      <x:c r="B7" s="1220" t="str">
        <x:v>%/год</x:v>
      </x:c>
      <x:c r="C7" s="1221" t="n">
        <x:v>0.14</x:v>
      </x:c>
      <x:c r="D7" s="1220" t="str">
        <x:v>Факт</x:v>
      </x:c>
      <x:c r="E7" s="1220" t="str">
        <x:v>Банк России, решение от 24.07.2026</x:v>
      </x:c>
      <x:c r="F7" s="1220" t="str">
        <x:v>Базовая стоимость капитала</x:v>
      </x:c>
      <x:c r="G7" s="1220" t="str">
        <x:v>Да</x:v>
      </x:c>
    </x:row>
    <x:row r="8" ht="30" hidden="0" customHeight="1">
      <x:c r="A8" s="1222" t="str">
        <x:v>Премия к ключевой ставке</x:v>
      </x:c>
      <x:c r="B8" s="1222" t="str">
        <x:v>п.п.</x:v>
      </x:c>
      <x:c r="C8" s="1223" t="n">
        <x:v>0.015</x:v>
      </x:c>
      <x:c r="D8" s="1222" t="str">
        <x:v>Условие</x:v>
      </x:c>
      <x:c r="E8" s="1222" t="str">
        <x:v>Условие расчета</x:v>
      </x:c>
      <x:c r="F8" s="1222" t="str">
        <x:v>Проектная риск-премия</x:v>
      </x:c>
      <x:c r="G8" s="1222" t="str">
        <x:v>Да</x:v>
      </x:c>
    </x:row>
    <x:row r="9" ht="30" hidden="0" customHeight="1">
      <x:c r="A9" s="1222" t="str">
        <x:v>Ставка дисконтирования</x:v>
      </x:c>
      <x:c r="B9" s="1222" t="str">
        <x:v>%/год</x:v>
      </x:c>
      <x:c r="C9" s="1224" t="n">
        <x:f>C7+C8</x:f>
        <x:v>0.15500000000000003</x:v>
      </x:c>
      <x:c r="D9" s="1222" t="str">
        <x:v>Формула</x:v>
      </x:c>
      <x:c r="E9" s="1222" t="str">
        <x:v>Ключевая ставка + 1,5 п.п.</x:v>
      </x:c>
      <x:c r="F9" s="1222" t="str">
        <x:v>NPV, UMV, DMV, PI/J и DPP</x:v>
      </x:c>
      <x:c r="G9" s="1222" t="str">
        <x:v>Да</x:v>
      </x:c>
    </x:row>
    <x:row r="10" ht="30" hidden="0" customHeight="1">
      <x:c r="A10" s="1222" t="str">
        <x:v>Горизонт после ввода</x:v>
      </x:c>
      <x:c r="B10" s="1222" t="str">
        <x:v>лет</x:v>
      </x:c>
      <x:c r="C10" s="1222" t="n">
        <x:v>5</x:v>
      </x:c>
      <x:c r="D10" s="1222" t="str">
        <x:v>Методика</x:v>
      </x:c>
      <x:c r="E10" s="1222" t="str">
        <x:v>Лекция, принципы ФЭМ</x:v>
      </x:c>
      <x:c r="F10" s="1222" t="str">
        <x:v>Предел оценки эффекта</x:v>
      </x:c>
      <x:c r="G10" s="1222" t="str">
        <x:v>Да</x:v>
      </x:c>
    </x:row>
    <x:row r="11" ht="30" hidden="0" customHeight="1">
      <x:c r="A11" s="1222" t="str">
        <x:v>Год начала проекта</x:v>
      </x:c>
      <x:c r="B11" s="1222" t="str">
        <x:v>год</x:v>
      </x:c>
      <x:c r="C11" s="1222" t="n">
        <x:v>2026</x:v>
      </x:c>
      <x:c r="D11" s="1222" t="str">
        <x:v>Допущение</x:v>
      </x:c>
      <x:c r="E11" s="1222" t="str">
        <x:v>Календарь модели</x:v>
      </x:c>
      <x:c r="F11" s="1222" t="str">
        <x:v>Период первоначальных затрат</x:v>
      </x:c>
      <x:c r="G11" s="1222" t="str">
        <x:v>Да</x:v>
      </x:c>
    </x:row>
    <x:row r="12" ht="30" hidden="0" customHeight="1">
      <x:c r="A12" s="1222" t="str">
        <x:v>Метод дисконтирования</x:v>
      </x:c>
      <x:c r="B12" s="1222" t="str">
        <x:v>текст</x:v>
      </x:c>
      <x:c r="C12" s="1222" t="str">
        <x:v>середина периода</x:v>
      </x:c>
      <x:c r="D12" s="1222" t="str">
        <x:v>Методика</x:v>
      </x:c>
      <x:c r="E12" s="1222" t="str">
        <x:v>Лекция, принципы ФЭМ</x:v>
      </x:c>
      <x:c r="F12" s="1222" t="str">
        <x:v>Равномерный поток внутри года</x:v>
      </x:c>
      <x:c r="G12" s="1222" t="str">
        <x:v>Да</x:v>
      </x:c>
    </x:row>
    <x:row r="13" ht="30" hidden="0" customHeight="1">
      <x:c r="A13" s="322"/>
      <x:c r="B13" s="322"/>
      <x:c r="C13" s="322"/>
      <x:c r="D13" s="322"/>
      <x:c r="E13" s="322"/>
      <x:c r="F13" s="322"/>
      <x:c r="G13" s="322"/>
    </x:row>
    <x:row r="14" ht="30" hidden="0" customHeight="1">
      <x:c r="A14" s="1219" t="str">
        <x:v>2. Бюджет пилота и эксплуатационные затраты</x:v>
      </x:c>
      <x:c r="B14" s="1219" t="str">
        <x:v>2. Бюджет пилота и эксплуатационные затраты</x:v>
      </x:c>
      <x:c r="C14" s="1219" t="str">
        <x:v>2. Бюджет пилота и эксплуатационные затраты</x:v>
      </x:c>
      <x:c r="D14" s="1219" t="str">
        <x:v>2. Бюджет пилота и эксплуатационные затраты</x:v>
      </x:c>
      <x:c r="E14" s="1219" t="str">
        <x:v>2. Бюджет пилота и эксплуатационные затраты</x:v>
      </x:c>
      <x:c r="F14" s="1219" t="str">
        <x:v>2. Бюджет пилота и эксплуатационные затраты</x:v>
      </x:c>
      <x:c r="G14" s="1219" t="str">
        <x:v>2. Бюджет пилота и эксплуатационные затраты</x:v>
      </x:c>
    </x:row>
    <x:row r="15" ht="30" hidden="0" customHeight="1">
      <x:c r="A15" s="1188" t="str">
        <x:v>Параметр</x:v>
      </x:c>
      <x:c r="B15" s="1188" t="str">
        <x:v>Ед. изм.</x:v>
      </x:c>
      <x:c r="C15" s="1188" t="str">
        <x:v>Значение</x:v>
      </x:c>
      <x:c r="D15" s="1188" t="str">
        <x:v>Статус</x:v>
      </x:c>
      <x:c r="E15" s="1188" t="str">
        <x:v>Основание</x:v>
      </x:c>
      <x:c r="F15" s="1188" t="str">
        <x:v>Экономический смысл</x:v>
      </x:c>
      <x:c r="G15" s="1188" t="str">
        <x:v>В модели</x:v>
      </x:c>
    </x:row>
    <x:row r="16" ht="30" hidden="0" customHeight="1">
      <x:c r="A16" s="1220" t="str">
        <x:v>Ставка поддержки / оператора</x:v>
      </x:c>
      <x:c r="B16" s="1220" t="str">
        <x:v>руб./ч</x:v>
      </x:c>
      <x:c r="C16" s="1225" t="n">
        <x:v>2000</x:v>
      </x:c>
      <x:c r="D16" s="1220" t="str">
        <x:v>Условие</x:v>
      </x:c>
      <x:c r="E16" s="1220" t="str">
        <x:v>Условие расчета</x:v>
      </x:c>
      <x:c r="F16" s="1220" t="str">
        <x:v>Стоимостная оценка трудозатрат</x:v>
      </x:c>
      <x:c r="G16" s="1220" t="str">
        <x:v>Да</x:v>
      </x:c>
    </x:row>
    <x:row r="17" ht="30" hidden="0" customHeight="1">
      <x:c r="A17" s="1222" t="str">
        <x:v>Ставка участника проектной команды</x:v>
      </x:c>
      <x:c r="B17" s="1222" t="str">
        <x:v>руб./ч</x:v>
      </x:c>
      <x:c r="C17" s="1226" t="n">
        <x:v>3500</x:v>
      </x:c>
      <x:c r="D17" s="1222" t="str">
        <x:v>Условие</x:v>
      </x:c>
      <x:c r="E17" s="1222" t="str">
        <x:v>Условие расчета</x:v>
      </x:c>
      <x:c r="F17" s="1222" t="str">
        <x:v>Бюджет разработки</x:v>
      </x:c>
      <x:c r="G17" s="1222" t="str">
        <x:v>Да</x:v>
      </x:c>
    </x:row>
    <x:row r="18" ht="30" hidden="0" customHeight="1">
      <x:c r="A18" s="1222" t="str">
        <x:v>Численность проектной команды</x:v>
      </x:c>
      <x:c r="B18" s="1222" t="str">
        <x:v>чел.</x:v>
      </x:c>
      <x:c r="C18" s="1226" t="n">
        <x:v>5</x:v>
      </x:c>
      <x:c r="D18" s="1222" t="str">
        <x:v>Допущение</x:v>
      </x:c>
      <x:c r="E18" s="1222" t="str">
        <x:v>Оценка пилота</x:v>
      </x:c>
      <x:c r="F18" s="1222" t="str">
        <x:v>Разработка, архитектура, DevOps, аналитика/QA</x:v>
      </x:c>
      <x:c r="G18" s="1222" t="str">
        <x:v>Да</x:v>
      </x:c>
    </x:row>
    <x:row r="19" ht="30" hidden="0" customHeight="1">
      <x:c r="A19" s="1222" t="str">
        <x:v>Длительность проекта</x:v>
      </x:c>
      <x:c r="B19" s="1222" t="str">
        <x:v>мес.</x:v>
      </x:c>
      <x:c r="C19" s="1226" t="n">
        <x:v>6</x:v>
      </x:c>
      <x:c r="D19" s="1222" t="str">
        <x:v>Допущение</x:v>
      </x:c>
      <x:c r="E19" s="1222" t="str">
        <x:v>Оценка пилота</x:v>
      </x:c>
      <x:c r="F19" s="1222" t="str">
        <x:v>Проектирование, разработка, тестирование и ввод</x:v>
      </x:c>
      <x:c r="G19" s="1222" t="str">
        <x:v>Да</x:v>
      </x:c>
    </x:row>
    <x:row r="20" ht="30" hidden="0" customHeight="1">
      <x:c r="A20" s="1222" t="str">
        <x:v>Загрузка участника команды</x:v>
      </x:c>
      <x:c r="B20" s="1222" t="str">
        <x:v>ч/мес.</x:v>
      </x:c>
      <x:c r="C20" s="1226" t="n">
        <x:v>160</x:v>
      </x:c>
      <x:c r="D20" s="1222" t="str">
        <x:v>Допущение</x:v>
      </x:c>
      <x:c r="E20" s="1222" t="str">
        <x:v>Полная проектная загрузка</x:v>
      </x:c>
      <x:c r="F20" s="1222" t="str">
        <x:v>Расчет трудоемкости команды</x:v>
      </x:c>
      <x:c r="G20" s="1222" t="str">
        <x:v>Да</x:v>
      </x:c>
    </x:row>
    <x:row r="21" ht="30" hidden="0" customHeight="1">
      <x:c r="A21" s="1222" t="str">
        <x:v>Стоимость команды</x:v>
      </x:c>
      <x:c r="B21" s="1222" t="str">
        <x:v>млн руб.</x:v>
      </x:c>
      <x:c r="C21" s="1227" t="n">
        <x:f>C17*C18*C19*C20/1000000</x:f>
        <x:v>16.8</x:v>
      </x:c>
      <x:c r="D21" s="1222" t="str">
        <x:v>Формула</x:v>
      </x:c>
      <x:c r="E21" s="1222" t="str">
        <x:v>Ставка × команда × месяцы × часы</x:v>
      </x:c>
      <x:c r="F21" s="1222" t="str">
        <x:v>Основная часть CAPEX</x:v>
      </x:c>
      <x:c r="G21" s="1222" t="str">
        <x:v>Да</x:v>
      </x:c>
    </x:row>
    <x:row r="22" ht="30" hidden="0" customHeight="1">
      <x:c r="A22" s="1222" t="str">
        <x:v>Базовая инфраструктура</x:v>
      </x:c>
      <x:c r="B22" s="1222" t="str">
        <x:v>млн руб.</x:v>
      </x:c>
      <x:c r="C22" s="1228" t="n">
        <x:v>1.75</x:v>
      </x:c>
      <x:c r="D22" s="1222" t="str">
        <x:v>Допущение</x:v>
      </x:c>
      <x:c r="E22" s="1222" t="str">
        <x:v>Оценка пилотного контура</x:v>
      </x:c>
      <x:c r="F22" s="1222" t="str">
        <x:v>Серверы, сеть и хранение</x:v>
      </x:c>
      <x:c r="G22" s="1222" t="str">
        <x:v>Да</x:v>
      </x:c>
    </x:row>
    <x:row r="23" ht="30" hidden="0" customHeight="1">
      <x:c r="A23" s="1222" t="str">
        <x:v>Два GPU-сервера NVIDIA A30</x:v>
      </x:c>
      <x:c r="B23" s="1222" t="str">
        <x:v>млн руб.</x:v>
      </x:c>
      <x:c r="C23" s="1228" t="n">
        <x:v>0.4</x:v>
      </x:c>
      <x:c r="D23" s="1222" t="str">
        <x:v>Факт кейса</x:v>
      </x:c>
      <x:c r="E23" s="1222" t="str">
        <x:v>Кейс: увеличение бюджета на 400 тыс. руб.</x:v>
      </x:c>
      <x:c r="F23" s="1222" t="str">
        <x:v>Локальные модели без внешнего облака</x:v>
      </x:c>
      <x:c r="G23" s="1222" t="str">
        <x:v>Да</x:v>
      </x:c>
    </x:row>
    <x:row r="24" ht="30" hidden="0" customHeight="1">
      <x:c r="A24" s="1222" t="str">
        <x:v>Интеграция, обучение и приемка</x:v>
      </x:c>
      <x:c r="B24" s="1222" t="str">
        <x:v>млн руб.</x:v>
      </x:c>
      <x:c r="C24" s="1228" t="n">
        <x:v>0.3</x:v>
      </x:c>
      <x:c r="D24" s="1222" t="str">
        <x:v>Допущение</x:v>
      </x:c>
      <x:c r="E24" s="1222" t="str">
        <x:v>Оценка пилота</x:v>
      </x:c>
      <x:c r="F24" s="1222" t="str">
        <x:v>Подключение систем и ввод пользователей</x:v>
      </x:c>
      <x:c r="G24" s="1222" t="str">
        <x:v>Да</x:v>
      </x:c>
    </x:row>
    <x:row r="25" ht="30" hidden="0" customHeight="1">
      <x:c r="A25" s="1222" t="str">
        <x:v>Подытог CAPEX до резерва</x:v>
      </x:c>
      <x:c r="B25" s="1222" t="str">
        <x:v>млн руб.</x:v>
      </x:c>
      <x:c r="C25" s="1227" t="n">
        <x:f>SUM(C21:C24)</x:f>
        <x:v>19.25</x:v>
      </x:c>
      <x:c r="D25" s="1222" t="str">
        <x:v>Формула</x:v>
      </x:c>
      <x:c r="E25" s="1222" t="str">
        <x:v>Сумма проектных затрат</x:v>
      </x:c>
      <x:c r="F25" s="1222" t="str">
        <x:v>База резерва</x:v>
      </x:c>
      <x:c r="G25" s="1222" t="str">
        <x:v>Да</x:v>
      </x:c>
    </x:row>
    <x:row r="26" ht="30" hidden="0" customHeight="1">
      <x:c r="A26" s="1222" t="str">
        <x:v>Резерв проекта</x:v>
      </x:c>
      <x:c r="B26" s="1222" t="str">
        <x:v>%</x:v>
      </x:c>
      <x:c r="C26" s="1223" t="n">
        <x:v>0.1</x:v>
      </x:c>
      <x:c r="D26" s="1222" t="str">
        <x:v>Допущение</x:v>
      </x:c>
      <x:c r="E26" s="1222" t="str">
        <x:v>Оценка неопределенности</x:v>
      </x:c>
      <x:c r="F26" s="1222" t="str">
        <x:v>Изменение объема и уточнение интеграций</x:v>
      </x:c>
      <x:c r="G26" s="1222" t="str">
        <x:v>Да</x:v>
      </x:c>
    </x:row>
    <x:row r="27" ht="30" hidden="0" customHeight="1">
      <x:c r="A27" s="1229" t="str">
        <x:v>Первоначальные инвестиции</x:v>
      </x:c>
      <x:c r="B27" s="1229" t="str">
        <x:v>млн руб.</x:v>
      </x:c>
      <x:c r="C27" s="1230" t="n">
        <x:f>C25*(1+C26)</x:f>
        <x:v>21.175</x:v>
      </x:c>
      <x:c r="D27" s="1229" t="str">
        <x:v>Формула</x:v>
      </x:c>
      <x:c r="E27" s="1229" t="str">
        <x:v>Подытог × (1 + резерв)</x:v>
      </x:c>
      <x:c r="F27" s="1229" t="str">
        <x:v>CAPEX пилота</x:v>
      </x:c>
      <x:c r="G27" s="1229" t="str">
        <x:v>Да</x:v>
      </x:c>
    </x:row>
    <x:row r="28" ht="30" hidden="0" customHeight="1">
      <x:c r="A28" s="1222" t="str">
        <x:v>Сопровождение платформы</x:v>
      </x:c>
      <x:c r="B28" s="1222" t="str">
        <x:v>ч/мес.</x:v>
      </x:c>
      <x:c r="C28" s="1226" t="n">
        <x:v>40</x:v>
      </x:c>
      <x:c r="D28" s="1222" t="str">
        <x:v>Допущение</x:v>
      </x:c>
      <x:c r="E28" s="1222" t="str">
        <x:v>Оценка пилота</x:v>
      </x:c>
      <x:c r="F28" s="1222" t="str">
        <x:v>Поддержка после запуска</x:v>
      </x:c>
      <x:c r="G28" s="1222" t="str">
        <x:v>Да</x:v>
      </x:c>
    </x:row>
    <x:row r="29" ht="30" hidden="0" customHeight="1">
      <x:c r="A29" s="1222" t="str">
        <x:v>Эксплуатация инфраструктуры</x:v>
      </x:c>
      <x:c r="B29" s="1222" t="str">
        <x:v>млн руб./год</x:v>
      </x:c>
      <x:c r="C29" s="1228" t="n">
        <x:v>0.3</x:v>
      </x:c>
      <x:c r="D29" s="1222" t="str">
        <x:v>Допущение</x:v>
      </x:c>
      <x:c r="E29" s="1222" t="str">
        <x:v>Оценка пилота</x:v>
      </x:c>
      <x:c r="F29" s="1222" t="str">
        <x:v>Обслуживание, резервное копирование</x:v>
      </x:c>
      <x:c r="G29" s="1222" t="str">
        <x:v>Да</x:v>
      </x:c>
    </x:row>
    <x:row r="30" ht="30" hidden="0" customHeight="1">
      <x:c r="A30" s="1222" t="str">
        <x:v>Лицензии и вендорская поддержка</x:v>
      </x:c>
      <x:c r="B30" s="1222" t="str">
        <x:v>млн руб./год</x:v>
      </x:c>
      <x:c r="C30" s="1228" t="n">
        <x:v>0.25</x:v>
      </x:c>
      <x:c r="D30" s="1222" t="str">
        <x:v>Допущение</x:v>
      </x:c>
      <x:c r="E30" s="1222" t="str">
        <x:v>Резерв закупки</x:v>
      </x:c>
      <x:c r="F30" s="1222" t="str">
        <x:v>Уточняется коммерческими предложениями</x:v>
      </x:c>
      <x:c r="G30" s="1222" t="str">
        <x:v>Да</x:v>
      </x:c>
    </x:row>
    <x:row r="31" ht="30" hidden="0" customHeight="1">
      <x:c r="A31" s="1222" t="str">
        <x:v>Стоимость сопровождения</x:v>
      </x:c>
      <x:c r="B31" s="1222" t="str">
        <x:v>млн руб./год</x:v>
      </x:c>
      <x:c r="C31" s="1227" t="n">
        <x:f>C28*12*C16/1000000</x:f>
        <x:v>0.96</x:v>
      </x:c>
      <x:c r="D31" s="1222" t="str">
        <x:v>Формула</x:v>
      </x:c>
      <x:c r="E31" s="1222" t="str">
        <x:v>Часы × ставка × 12</x:v>
      </x:c>
      <x:c r="F31" s="1222" t="str">
        <x:v>Сервисные затраты</x:v>
      </x:c>
      <x:c r="G31" s="1222" t="str">
        <x:v>Да</x:v>
      </x:c>
    </x:row>
    <x:row r="32" ht="30" hidden="0" customHeight="1">
      <x:c r="A32" s="1229" t="str">
        <x:v>Ежегодный OPEX</x:v>
      </x:c>
      <x:c r="B32" s="1229" t="str">
        <x:v>млн руб./год</x:v>
      </x:c>
      <x:c r="C32" s="1230" t="n">
        <x:f>SUM(C29:C31)</x:f>
        <x:v>1.51</x:v>
      </x:c>
      <x:c r="D32" s="1229" t="str">
        <x:v>Формула</x:v>
      </x:c>
      <x:c r="E32" s="1229" t="str">
        <x:v>Сервис + инфраструктура + лицензии</x:v>
      </x:c>
      <x:c r="F32" s="1229" t="str">
        <x:v>Эксплуатационная расходная часть</x:v>
      </x:c>
      <x:c r="G32" s="1229" t="str">
        <x:v>Да</x:v>
      </x:c>
    </x:row>
    <x:row r="33" ht="30" hidden="0" customHeight="1">
      <x:c r="A33" s="322"/>
      <x:c r="B33" s="322"/>
      <x:c r="C33" s="322"/>
      <x:c r="D33" s="322"/>
      <x:c r="E33" s="322"/>
      <x:c r="F33" s="322"/>
      <x:c r="G33" s="322"/>
    </x:row>
    <x:row r="34" ht="30" hidden="0" customHeight="1">
      <x:c r="A34" s="1219" t="str">
        <x:v>3. Эффект сокращения ручной обработки (косвенный, UMV)</x:v>
      </x:c>
      <x:c r="B34" s="1219" t="str">
        <x:v>3. Эффект сокращения ручной обработки (косвенный, UMV)</x:v>
      </x:c>
      <x:c r="C34" s="1219" t="str">
        <x:v>3. Эффект сокращения ручной обработки (косвенный, UMV)</x:v>
      </x:c>
      <x:c r="D34" s="1219" t="str">
        <x:v>3. Эффект сокращения ручной обработки (косвенный, UMV)</x:v>
      </x:c>
      <x:c r="E34" s="1219" t="str">
        <x:v>3. Эффект сокращения ручной обработки (косвенный, UMV)</x:v>
      </x:c>
      <x:c r="F34" s="1219" t="str">
        <x:v>3. Эффект сокращения ручной обработки (косвенный, UMV)</x:v>
      </x:c>
      <x:c r="G34" s="1219" t="str">
        <x:v>3. Эффект сокращения ручной обработки (косвенный, UMV)</x:v>
      </x:c>
    </x:row>
    <x:row r="35" ht="30" hidden="0" customHeight="1">
      <x:c r="A35" s="1188" t="str">
        <x:v>Параметр</x:v>
      </x:c>
      <x:c r="B35" s="1188" t="str">
        <x:v>Ед. изм.</x:v>
      </x:c>
      <x:c r="C35" s="1188" t="str">
        <x:v>Значение</x:v>
      </x:c>
      <x:c r="D35" s="1188" t="str">
        <x:v>Статус</x:v>
      </x:c>
      <x:c r="E35" s="1188" t="str">
        <x:v>Основание</x:v>
      </x:c>
      <x:c r="F35" s="1188" t="str">
        <x:v>Экономический смысл</x:v>
      </x:c>
      <x:c r="G35" s="1188" t="str">
        <x:v>В модели</x:v>
      </x:c>
    </x:row>
    <x:row r="36" ht="30" hidden="0" customHeight="1">
      <x:c r="A36" s="1220" t="str">
        <x:v>Ручная обработка L1 без платформы</x:v>
      </x:c>
      <x:c r="B36" s="1220" t="str">
        <x:v>ч/день</x:v>
      </x:c>
      <x:c r="C36" s="1225" t="n">
        <x:v>48</x:v>
      </x:c>
      <x:c r="D36" s="1220" t="str">
        <x:v>Факт кейса</x:v>
      </x:c>
      <x:c r="E36" s="1220" t="str">
        <x:v>Кейс IT Camp</x:v>
      </x:c>
      <x:c r="F36" s="1220" t="str">
        <x:v>Трудоемкость AS IS</x:v>
      </x:c>
      <x:c r="G36" s="1220" t="str">
        <x:v>Да</x:v>
      </x:c>
    </x:row>
    <x:row r="37" ht="30" hidden="0" customHeight="1">
      <x:c r="A37" s="1222" t="str">
        <x:v>Сокращение ручной фильтрации</x:v>
      </x:c>
      <x:c r="B37" s="1222" t="str">
        <x:v>%</x:v>
      </x:c>
      <x:c r="C37" s="1223" t="n">
        <x:v>0.6</x:v>
      </x:c>
      <x:c r="D37" s="1222" t="str">
        <x:v>Цель кейса</x:v>
      </x:c>
      <x:c r="E37" s="1222" t="str">
        <x:v>Кейс IT Camp</x:v>
      </x:c>
      <x:c r="F37" s="1222" t="str">
        <x:v>Целевое изменение процесса</x:v>
      </x:c>
      <x:c r="G37" s="1222" t="str">
        <x:v>Да</x:v>
      </x:c>
    </x:row>
    <x:row r="38" ht="30" hidden="0" customHeight="1">
      <x:c r="A38" s="1222" t="str">
        <x:v>Рабочих дней в году</x:v>
      </x:c>
      <x:c r="B38" s="1222" t="str">
        <x:v>дней</x:v>
      </x:c>
      <x:c r="C38" s="1226" t="n">
        <x:v>365</x:v>
      </x:c>
      <x:c r="D38" s="1222" t="str">
        <x:v>Допущение</x:v>
      </x:c>
      <x:c r="E38" s="1222" t="str">
        <x:v>Непрерывный режим мониторинга</x:v>
      </x:c>
      <x:c r="F38" s="1222" t="str">
        <x:v>Годовой пересчет</x:v>
      </x:c>
      <x:c r="G38" s="1222" t="str">
        <x:v>Да</x:v>
      </x:c>
    </x:row>
    <x:row r="39" ht="30" hidden="0" customHeight="1">
      <x:c r="A39" s="1222" t="str">
        <x:v>Высвобождено времени</x:v>
      </x:c>
      <x:c r="B39" s="1222" t="str">
        <x:v>ч/год</x:v>
      </x:c>
      <x:c r="C39" s="1222" t="n">
        <x:f>C36*C37*C38</x:f>
        <x:v>10511.999999999998</x:v>
      </x:c>
      <x:c r="D39" s="1222" t="str">
        <x:v>Формула</x:v>
      </x:c>
      <x:c r="E39" s="1222" t="str">
        <x:v>48 × 60% × 365</x:v>
      </x:c>
      <x:c r="F39" s="1222" t="str">
        <x:v>Физический эффект</x:v>
      </x:c>
      <x:c r="G39" s="1222" t="str">
        <x:v>Да</x:v>
      </x:c>
    </x:row>
    <x:row r="40" ht="30" hidden="0" customHeight="1">
      <x:c r="A40" s="1222" t="str">
        <x:v>Ставка сотрудника</x:v>
      </x:c>
      <x:c r="B40" s="1222" t="str">
        <x:v>руб./ч</x:v>
      </x:c>
      <x:c r="C40" s="1222" t="n">
        <x:f>C16</x:f>
        <x:v>2000</x:v>
      </x:c>
      <x:c r="D40" s="1222" t="str">
        <x:v>Связь</x:v>
      </x:c>
      <x:c r="E40" s="1222" t="str">
        <x:v>Условие расчета</x:v>
      </x:c>
      <x:c r="F40" s="1222" t="str">
        <x:v>Оценка ресурса</x:v>
      </x:c>
      <x:c r="G40" s="1222" t="str">
        <x:v>Да</x:v>
      </x:c>
    </x:row>
    <x:row r="41" ht="30" hidden="0" customHeight="1">
      <x:c r="A41" s="1222" t="str">
        <x:v>Полная стоимость высвобожденного ресурса</x:v>
      </x:c>
      <x:c r="B41" s="1222" t="str">
        <x:v>млн руб./год</x:v>
      </x:c>
      <x:c r="C41" s="1227" t="n">
        <x:f>C39*C40/1000000</x:f>
        <x:v>21.023999999999997</x:v>
      </x:c>
      <x:c r="D41" s="1222" t="str">
        <x:v>Формула</x:v>
      </x:c>
      <x:c r="E41" s="1222" t="str">
        <x:v>Часы × ставка</x:v>
      </x:c>
      <x:c r="F41" s="1222" t="str">
        <x:v>Потенциал без учета реализуемости</x:v>
      </x:c>
      <x:c r="G41" s="1222" t="str">
        <x:v>Нет, контроль</x:v>
      </x:c>
    </x:row>
    <x:row r="42" ht="30" hidden="0" customHeight="1">
      <x:c r="A42" s="1222" t="str">
        <x:v>Экономия ФОТ по кейсу</x:v>
      </x:c>
      <x:c r="B42" s="1222" t="str">
        <x:v>млн руб./квартал</x:v>
      </x:c>
      <x:c r="C42" s="1228" t="n">
        <x:v>1.1</x:v>
      </x:c>
      <x:c r="D42" s="1222" t="str">
        <x:v>Цель кейса</x:v>
      </x:c>
      <x:c r="E42" s="1222" t="str">
        <x:v>Кейс IT Camp</x:v>
      </x:c>
      <x:c r="F42" s="1222" t="str">
        <x:v>Подтвержденная целевая величина</x:v>
      </x:c>
      <x:c r="G42" s="1222" t="str">
        <x:v>Да</x:v>
      </x:c>
    </x:row>
    <x:row r="43" ht="30" hidden="0" customHeight="1">
      <x:c r="A43" s="1222" t="str">
        <x:v>Экономия ФОТ по кейсу</x:v>
      </x:c>
      <x:c r="B43" s="1222" t="str">
        <x:v>млн руб./год</x:v>
      </x:c>
      <x:c r="C43" s="1227" t="n">
        <x:f>C42*4</x:f>
        <x:v>4.4</x:v>
      </x:c>
      <x:c r="D43" s="1222" t="str">
        <x:v>Формула</x:v>
      </x:c>
      <x:c r="E43" s="1222" t="str">
        <x:v>1,1 × 4 квартала</x:v>
      </x:c>
      <x:c r="F43" s="1222" t="str">
        <x:v>Признанный косвенный эффект</x:v>
      </x:c>
      <x:c r="G43" s="1222" t="str">
        <x:v>Да</x:v>
      </x:c>
    </x:row>
    <x:row r="44" ht="30" hidden="0" customHeight="1">
      <x:c r="A44" s="1222" t="str">
        <x:v>Коэффициент реализации ресурса</x:v>
      </x:c>
      <x:c r="B44" s="1222" t="str">
        <x:v>%</x:v>
      </x:c>
      <x:c r="C44" s="1224" t="n">
        <x:f>C43/C41</x:f>
        <x:v>0.20928462709284631</x:v>
      </x:c>
      <x:c r="D44" s="1222" t="str">
        <x:v>Формула</x:v>
      </x:c>
      <x:c r="E44" s="1222" t="str">
        <x:v>Эффект кейса / полный потенциал</x:v>
      </x:c>
      <x:c r="F44" s="1222" t="str">
        <x:v>Не допускает завышения эффекта</x:v>
      </x:c>
      <x:c r="G44" s="1222" t="str">
        <x:v>Да</x:v>
      </x:c>
    </x:row>
    <x:row r="45" ht="30" hidden="0" customHeight="1">
      <x:c r="A45" s="1229" t="str">
        <x:v>Признанный эффект трудозатрат</x:v>
      </x:c>
      <x:c r="B45" s="1229" t="str">
        <x:v>млн руб./год</x:v>
      </x:c>
      <x:c r="C45" s="1230" t="n">
        <x:f>C41*C44</x:f>
        <x:v>4.4</x:v>
      </x:c>
      <x:c r="D45" s="1229" t="str">
        <x:v>Формула</x:v>
      </x:c>
      <x:c r="E45" s="1229" t="str">
        <x:v>Потенциал × коэффициент реализации</x:v>
      </x:c>
      <x:c r="F45" s="1229" t="str">
        <x:v>UMV</x:v>
      </x:c>
      <x:c r="G45" s="1229" t="str">
        <x:v>Да</x:v>
      </x:c>
    </x:row>
    <x:row r="46" ht="30" hidden="0" customHeight="1">
      <x:c r="A46" s="1222" t="str">
        <x:v>Тип эффекта</x:v>
      </x:c>
      <x:c r="B46" s="1222" t="str">
        <x:v>текст</x:v>
      </x:c>
      <x:c r="C46" s="1222" t="str">
        <x:v>косвенный (UMV)</x:v>
      </x:c>
      <x:c r="D46" s="1222" t="str">
        <x:v>Методика</x:v>
      </x:c>
      <x:c r="E46" s="1222" t="str">
        <x:v>Лекция: без сокращения штата эффект косвенный</x:v>
      </x:c>
      <x:c r="F46" s="1222" t="str">
        <x:v>Не считается гарантированным cash effect</x:v>
      </x:c>
      <x:c r="G46" s="1222" t="str">
        <x:v>Да</x:v>
      </x:c>
    </x:row>
    <x:row r="47" ht="30" hidden="0" customHeight="1">
      <x:c r="A47" s="322"/>
      <x:c r="B47" s="322"/>
      <x:c r="C47" s="322"/>
      <x:c r="D47" s="322"/>
      <x:c r="E47" s="322"/>
      <x:c r="F47" s="322"/>
      <x:c r="G47" s="322"/>
    </x:row>
    <x:row r="48" ht="30" hidden="0" customHeight="1">
      <x:c r="A48" s="1231" t="str">
        <x:v>4. Сценарий снижения риска простоя (трудноизмеримый, DMV)</x:v>
      </x:c>
      <x:c r="B48" s="1231" t="str">
        <x:v>4. Сценарий снижения риска простоя (трудноизмеримый, DMV)</x:v>
      </x:c>
      <x:c r="C48" s="1231" t="str">
        <x:v>4. Сценарий снижения риска простоя (трудноизмеримый, DMV)</x:v>
      </x:c>
      <x:c r="D48" s="1231" t="str">
        <x:v>4. Сценарий снижения риска простоя (трудноизмеримый, DMV)</x:v>
      </x:c>
      <x:c r="E48" s="1231" t="str">
        <x:v>4. Сценарий снижения риска простоя (трудноизмеримый, DMV)</x:v>
      </x:c>
      <x:c r="F48" s="1231" t="str">
        <x:v>4. Сценарий снижения риска простоя (трудноизмеримый, DMV)</x:v>
      </x:c>
      <x:c r="G48" s="1231" t="str">
        <x:v>4. Сценарий снижения риска простоя (трудноизмеримый, DMV)</x:v>
      </x:c>
    </x:row>
    <x:row r="49" ht="30" hidden="0" customHeight="1">
      <x:c r="A49" s="1188" t="str">
        <x:v>Параметр</x:v>
      </x:c>
      <x:c r="B49" s="1188" t="str">
        <x:v>Ед. изм.</x:v>
      </x:c>
      <x:c r="C49" s="1188" t="str">
        <x:v>Значение</x:v>
      </x:c>
      <x:c r="D49" s="1188" t="str">
        <x:v>Статус</x:v>
      </x:c>
      <x:c r="E49" s="1188" t="str">
        <x:v>Основание</x:v>
      </x:c>
      <x:c r="F49" s="1188" t="str">
        <x:v>Экономический смысл</x:v>
      </x:c>
      <x:c r="G49" s="1188" t="str">
        <x:v>В модели</x:v>
      </x:c>
    </x:row>
    <x:row r="50" ht="30" hidden="0" customHeight="1">
      <x:c r="A50" s="1220" t="str">
        <x:v>Ущерб от одного критического инцидента</x:v>
      </x:c>
      <x:c r="B50" s="1220" t="str">
        <x:v>млн руб./инцидент</x:v>
      </x:c>
      <x:c r="C50" s="1232" t="n">
        <x:v>3.2</x:v>
      </x:c>
      <x:c r="D50" s="1220" t="str">
        <x:v>Факт кейса</x:v>
      </x:c>
      <x:c r="E50" s="1220" t="str">
        <x:v>Кейс IT Camp</x:v>
      </x:c>
      <x:c r="F50" s="1220" t="str">
        <x:v>Размер потерь при реализации события</x:v>
      </x:c>
      <x:c r="G50" s="1220" t="str">
        <x:v>Да</x:v>
      </x:c>
    </x:row>
    <x:row r="51" ht="30" customHeight="1">
      <x:c r="A51" s="1222" t="str">
        <x:v>Критических инцидентов в год</x:v>
      </x:c>
      <x:c r="B51" s="1222" t="str">
        <x:v>шт./год</x:v>
      </x:c>
      <x:c r="C51" s="1226" t="n">
        <x:v>3</x:v>
      </x:c>
      <x:c r="D51" s="1222" t="str">
        <x:v>Допущение</x:v>
      </x:c>
      <x:c r="E51" s="1222" t="str">
        <x:v>Сценарная частота</x:v>
      </x:c>
      <x:c r="F51" s="1222" t="str">
        <x:v>Требует статистического подтверждения</x:v>
      </x:c>
      <x:c r="G51" s="1222" t="str">
        <x:v>Да</x:v>
      </x:c>
    </x:row>
    <x:row r="52" ht="30" customHeight="1">
      <x:c r="A52" s="1222" t="str">
        <x:v>Предотвращаемая доля ущерба</x:v>
      </x:c>
      <x:c r="B52" s="1222" t="str">
        <x:v>%</x:v>
      </x:c>
      <x:c r="C52" s="1223" t="n">
        <x:v>0.25</x:v>
      </x:c>
      <x:c r="D52" s="1222" t="str">
        <x:v>Допущение</x:v>
      </x:c>
      <x:c r="E52" s="1222" t="str">
        <x:v>Экспертный сценарий</x:v>
      </x:c>
      <x:c r="F52" s="1222" t="str">
        <x:v>Доля потерь, на которую влияет платформа</x:v>
      </x:c>
      <x:c r="G52" s="1222" t="str">
        <x:v>Да</x:v>
      </x:c>
    </x:row>
    <x:row r="53" ht="30" customHeight="1">
      <x:c r="A53" s="1222" t="str">
        <x:v>Коэффициент атрибуции платформе</x:v>
      </x:c>
      <x:c r="B53" s="1222" t="str">
        <x:v>%</x:v>
      </x:c>
      <x:c r="C53" s="1223" t="n">
        <x:v>0.5</x:v>
      </x:c>
      <x:c r="D53" s="1222" t="str">
        <x:v>Допущение</x:v>
      </x:c>
      <x:c r="E53" s="1222" t="str">
        <x:v>Очистка влияния других факторов</x:v>
      </x:c>
      <x:c r="F53" s="1222" t="str">
        <x:v>Исключает полный перенос эффекта на ИТ</x:v>
      </x:c>
      <x:c r="G53" s="1222" t="str">
        <x:v>Да</x:v>
      </x:c>
    </x:row>
    <x:row r="54" ht="30" customHeight="1">
      <x:c r="A54" s="1233" t="str">
        <x:v>Ожидаемый эффект снижения риска</x:v>
      </x:c>
      <x:c r="B54" s="1233" t="str">
        <x:v>млн руб./год</x:v>
      </x:c>
      <x:c r="C54" s="1234" t="n">
        <x:f>C50*C51*C52*C53</x:f>
        <x:v>1.2000000000000002</x:v>
      </x:c>
      <x:c r="D54" s="1233" t="str">
        <x:v>Формула</x:v>
      </x:c>
      <x:c r="E54" s="1233" t="str">
        <x:v>Ущерб × частота × доля × атрибуция</x:v>
      </x:c>
      <x:c r="F54" s="1233" t="str">
        <x:v>DMV, не гарантированный cash effect</x:v>
      </x:c>
      <x:c r="G54" s="1233" t="str">
        <x:v>Да</x:v>
      </x:c>
    </x:row>
    <x:row r="55" ht="30" customHeight="1">
      <x:c r="A55" s="1222" t="str">
        <x:v>Тип эффекта</x:v>
      </x:c>
      <x:c r="B55" s="1222" t="str">
        <x:v>текст</x:v>
      </x:c>
      <x:c r="C55" s="1222" t="str">
        <x:v>трудноизмеримый (DMV)</x:v>
      </x:c>
      <x:c r="D55" s="1222" t="str">
        <x:v>Методика</x:v>
      </x:c>
      <x:c r="E55" s="1222" t="str">
        <x:v>Лекция: экспертно оцениваемый риск</x:v>
      </x:c>
      <x:c r="F55" s="1222" t="str">
        <x:v>Показывается отдельно от UMV</x:v>
      </x:c>
      <x:c r="G55" s="1222" t="str">
        <x:v>Да</x:v>
      </x:c>
    </x:row>
    <x:row r="56" ht="30" customHeight="1">
      <x:c r="A56" s="322"/>
      <x:c r="B56" s="322"/>
      <x:c r="C56" s="322"/>
      <x:c r="D56" s="322"/>
      <x:c r="E56" s="322"/>
      <x:c r="F56" s="322"/>
      <x:c r="G56" s="322"/>
    </x:row>
    <x:row r="57" ht="30" customHeight="1">
      <x:c r="A57" s="1219" t="str">
        <x:v>5. Динамика получения эффекта и границы кейса</x:v>
      </x:c>
      <x:c r="B57" s="1219" t="str">
        <x:v>5. Динамика получения эффекта и границы кейса</x:v>
      </x:c>
      <x:c r="C57" s="1219" t="str">
        <x:v>5. Динамика получения эффекта и границы кейса</x:v>
      </x:c>
      <x:c r="D57" s="1219" t="str">
        <x:v>5. Динамика получения эффекта и границы кейса</x:v>
      </x:c>
      <x:c r="E57" s="1219" t="str">
        <x:v>5. Динамика получения эффекта и границы кейса</x:v>
      </x:c>
      <x:c r="F57" s="1219" t="str">
        <x:v>5. Динамика получения эффекта и границы кейса</x:v>
      </x:c>
      <x:c r="G57" s="1219" t="str">
        <x:v>5. Динамика получения эффекта и границы кейса</x:v>
      </x:c>
    </x:row>
    <x:row r="58" ht="30" customHeight="1">
      <x:c r="A58" s="1188" t="str">
        <x:v>Параметр</x:v>
      </x:c>
      <x:c r="B58" s="1188" t="str">
        <x:v>Ед. изм.</x:v>
      </x:c>
      <x:c r="C58" s="1188" t="str">
        <x:v>Значение</x:v>
      </x:c>
      <x:c r="D58" s="1188" t="str">
        <x:v>Статус</x:v>
      </x:c>
      <x:c r="E58" s="1188" t="str">
        <x:v>Основание</x:v>
      </x:c>
      <x:c r="F58" s="1188" t="str">
        <x:v>Экономический смысл</x:v>
      </x:c>
      <x:c r="G58" s="1188" t="str">
        <x:v>В модели</x:v>
      </x:c>
    </x:row>
    <x:row r="59" ht="30" customHeight="1">
      <x:c r="A59" s="1220" t="str">
        <x:v>Доля эффекта в 1-й год эксплуатации</x:v>
      </x:c>
      <x:c r="B59" s="1220" t="str">
        <x:v>%</x:v>
      </x:c>
      <x:c r="C59" s="1221" t="n">
        <x:v>0.5</x:v>
      </x:c>
      <x:c r="D59" s="1220" t="str">
        <x:v>Допущение</x:v>
      </x:c>
      <x:c r="E59" s="1220" t="str">
        <x:v>Рамп-ап пилота</x:v>
      </x:c>
      <x:c r="F59" s="1220" t="str">
        <x:v>Обучение и настройка маршрутов</x:v>
      </x:c>
      <x:c r="G59" s="1220" t="str">
        <x:v>Да</x:v>
      </x:c>
    </x:row>
    <x:row r="60" ht="30" customHeight="1">
      <x:c r="A60" s="1222" t="str">
        <x:v>Доля эффекта во 2-й год эксплуатации</x:v>
      </x:c>
      <x:c r="B60" s="1222" t="str">
        <x:v>%</x:v>
      </x:c>
      <x:c r="C60" s="1223" t="n">
        <x:v>0.8</x:v>
      </x:c>
      <x:c r="D60" s="1222" t="str">
        <x:v>Допущение</x:v>
      </x:c>
      <x:c r="E60" s="1222" t="str">
        <x:v>Рамп-ап пилота</x:v>
      </x:c>
      <x:c r="F60" s="1222" t="str">
        <x:v>Расширение использования</x:v>
      </x:c>
      <x:c r="G60" s="1222" t="str">
        <x:v>Да</x:v>
      </x:c>
    </x:row>
    <x:row r="61" ht="30" customHeight="1">
      <x:c r="A61" s="1222" t="str">
        <x:v>Доля эффекта с 3-го года</x:v>
      </x:c>
      <x:c r="B61" s="1222" t="str">
        <x:v>%</x:v>
      </x:c>
      <x:c r="C61" s="1223" t="n">
        <x:v>1</x:v>
      </x:c>
      <x:c r="D61" s="1222" t="str">
        <x:v>Допущение</x:v>
      </x:c>
      <x:c r="E61" s="1222" t="str">
        <x:v>Выход на оргобъем</x:v>
      </x:c>
      <x:c r="F61" s="1222" t="str">
        <x:v>Полный эффект</x:v>
      </x:c>
      <x:c r="G61" s="1222" t="str">
        <x:v>Да</x:v>
      </x:c>
    </x:row>
    <x:row r="62" ht="30" customHeight="1">
      <x:c r="A62" s="1222" t="str">
        <x:v>Событий мониторинга</x:v>
      </x:c>
      <x:c r="B62" s="1222" t="str">
        <x:v>шт./сутки</x:v>
      </x:c>
      <x:c r="C62" s="1222" t="n">
        <x:v>5400</x:v>
      </x:c>
      <x:c r="D62" s="1222" t="str">
        <x:v>Факт кейса</x:v>
      </x:c>
      <x:c r="E62" s="1222" t="str">
        <x:v>Кейс IT Camp</x:v>
      </x:c>
      <x:c r="F62" s="1222" t="str">
        <x:v>Масштаб потока</x:v>
      </x:c>
      <x:c r="G62" s="1222" t="str">
        <x:v>Метрика</x:v>
      </x:c>
    </x:row>
    <x:row r="63" ht="30" customHeight="1">
      <x:c r="A63" s="1222" t="str">
        <x:v>Информационный шум AS IS</x:v>
      </x:c>
      <x:c r="B63" s="1222" t="str">
        <x:v>%</x:v>
      </x:c>
      <x:c r="C63" s="1224" t="n">
        <x:v>0.65</x:v>
      </x:c>
      <x:c r="D63" s="1222" t="str">
        <x:v>Факт кейса</x:v>
      </x:c>
      <x:c r="E63" s="1222" t="str">
        <x:v>Кейс IT Camp</x:v>
      </x:c>
      <x:c r="F63" s="1222" t="str">
        <x:v>Доля уведомлений без реакции</x:v>
      </x:c>
      <x:c r="G63" s="1222" t="str">
        <x:v>Метрика</x:v>
      </x:c>
    </x:row>
    <x:row r="64" ht="30" customHeight="1">
      <x:c r="A64" s="1222" t="str">
        <x:v>Ложные срабатывания TO BE</x:v>
      </x:c>
      <x:c r="B64" s="1222" t="str">
        <x:v>%</x:v>
      </x:c>
      <x:c r="C64" s="1224" t="n">
        <x:v>0.05</x:v>
      </x:c>
      <x:c r="D64" s="1222" t="str">
        <x:v>Цель кейса</x:v>
      </x:c>
      <x:c r="E64" s="1222" t="str">
        <x:v>Кейс IT Camp</x:v>
      </x:c>
      <x:c r="F64" s="1222" t="str">
        <x:v>Предельный уровень</x:v>
      </x:c>
      <x:c r="G64" s="1222" t="str">
        <x:v>Метрика</x:v>
      </x:c>
    </x:row>
    <x:row r="65" ht="30" customHeight="1">
      <x:c r="A65" s="1222" t="str">
        <x:v>Получатели P0 AS IS</x:v>
      </x:c>
      <x:c r="B65" s="1222" t="str">
        <x:v>чел.</x:v>
      </x:c>
      <x:c r="C65" s="1224" t="n">
        <x:v>200</x:v>
      </x:c>
      <x:c r="D65" s="1222" t="str">
        <x:v>Факт кейса</x:v>
      </x:c>
      <x:c r="E65" s="1222" t="str">
        <x:v>Кейс IT Camp</x:v>
      </x:c>
      <x:c r="F65" s="1222" t="str">
        <x:v>Массовая SMS-рассылка</x:v>
      </x:c>
      <x:c r="G65" s="1222" t="str">
        <x:v>Метрика</x:v>
      </x:c>
    </x:row>
    <x:row r="66" ht="30" customHeight="1">
      <x:c r="A66" s="1222" t="str">
        <x:v>Получатели P0 TO BE</x:v>
      </x:c>
      <x:c r="B66" s="1222" t="str">
        <x:v>чел.</x:v>
      </x:c>
      <x:c r="C66" s="1222" t="n">
        <x:v>2</x:v>
      </x:c>
      <x:c r="D66" s="1222" t="str">
        <x:v>Цель кейса</x:v>
      </x:c>
      <x:c r="E66" s="1222" t="str">
        <x:v>Кейс IT Camp</x:v>
      </x:c>
      <x:c r="F66" s="1222" t="str">
        <x:v>Адресная доставка</x:v>
      </x:c>
      <x:c r="G66" s="1222" t="str">
        <x:v>Метрика</x:v>
      </x:c>
    </x:row>
    <x:row r="67" ht="30" customHeight="1">
      <x:c r="A67" s="1222" t="str">
        <x:v>Пользователи пилота</x:v>
      </x:c>
      <x:c r="B67" s="1222" t="str">
        <x:v>чел.</x:v>
      </x:c>
      <x:c r="C67" s="1222" t="n">
        <x:v>87</x:v>
      </x:c>
      <x:c r="D67" s="1222" t="str">
        <x:v>Факт кейса</x:v>
      </x:c>
      <x:c r="E67" s="1222" t="str">
        <x:v>Кейс IT Camp</x:v>
      </x:c>
      <x:c r="F67" s="1222" t="str">
        <x:v>Масштаб внедрения</x:v>
      </x:c>
      <x:c r="G67" s="1222" t="str">
        <x:v>Граница</x:v>
      </x:c>
    </x:row>
    <x:row r="68" ht="30" customHeight="1">
      <x:c r="A68" s="1222" t="str">
        <x:v>Филиалы пилота</x:v>
      </x:c>
      <x:c r="B68" s="1222" t="str">
        <x:v>шт.</x:v>
      </x:c>
      <x:c r="C68" s="1222" t="n">
        <x:v>4</x:v>
      </x:c>
      <x:c r="D68" s="1222" t="str">
        <x:v>Факт кейса</x:v>
      </x:c>
      <x:c r="E68" s="1222" t="str">
        <x:v>Кейс IT Camp</x:v>
      </x:c>
      <x:c r="F68" s="1222" t="str">
        <x:v>Масштаб внедрения</x:v>
      </x:c>
      <x:c r="G68" s="1222" t="str">
        <x:v>Граница</x:v>
      </x:c>
    </x:row>
    <x:row r="69" ht="30" customHeight="1">
      <x:c r="A69" s="1222" t="str">
        <x:v>Целевой бюджет промышленного сценария</x:v>
      </x:c>
      <x:c r="B69" s="1222" t="str">
        <x:v>млн руб.</x:v>
      </x:c>
      <x:c r="C69" s="1228" t="n">
        <x:v>140</x:v>
      </x:c>
      <x:c r="D69" s="1222" t="str">
        <x:v>Сценарий</x:v>
      </x:c>
      <x:c r="E69" s="1222" t="str">
        <x:v>Ориентир заказчика</x:v>
      </x:c>
      <x:c r="F69" s="1222" t="str">
        <x:v>Не используется в базовом пилоте</x:v>
      </x:c>
      <x:c r="G69" s="1222" t="str">
        <x:v>Сравнение</x:v>
      </x:c>
    </x:row>
    <x:row r="70" ht="30" customHeight="1">
      <x:c r="A70" s="1222" t="str">
        <x:v>OPEX промышленного сценария</x:v>
      </x:c>
      <x:c r="B70" s="1222" t="str">
        <x:v>млн руб./год</x:v>
      </x:c>
      <x:c r="C70" s="1228" t="n">
        <x:v>12</x:v>
      </x:c>
      <x:c r="D70" s="1222" t="str">
        <x:v>Допущение</x:v>
      </x:c>
      <x:c r="E70" s="1222" t="str">
        <x:v>Оценка масштаба</x:v>
      </x:c>
      <x:c r="F70" s="1222" t="str">
        <x:v>Не используется в базовом пилоте</x:v>
      </x:c>
      <x:c r="G70" s="1222" t="str">
        <x:v>Сравнение</x:v>
      </x:c>
    </x:row>
  </x:sheetData>
  <x:mergeCells>
    <x:mergeCell ref="A1:G2"/>
    <x:mergeCell ref="A3:N3"/>
    <x:mergeCell ref="A5:G5"/>
    <x:mergeCell ref="A14:G14"/>
    <x:mergeCell ref="A34:G34"/>
    <x:mergeCell ref="A48:G48"/>
    <x:mergeCell ref="A57:G57"/>
  </x:mergeCells>
  <x:pageMargins left="0.7" right="0.7" top="0.75" bottom="0.75" header="0.3" footer="0.3"/>
  <x:legacyDrawing xmlns:r="http://schemas.openxmlformats.org/officeDocument/2006/relationships" r:id="R84abb24691794054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</x:cols>
  <x:sheetData>
    <x:row r="1" ht="34" customHeight="1">
      <x:c r="A1" s="1174" t="str">
        <x:v>РАСЧЕТ ЭФФЕКТОВ AS IS / TO BE</x:v>
      </x:c>
      <x:c r="B1" s="1174" t="str">
        <x:v>РАСЧЕТ ЭФФЕКТОВ AS IS / TO BE</x:v>
      </x:c>
      <x:c r="C1" s="1174" t="str">
        <x:v>РАСЧЕТ ЭФФЕКТОВ AS IS / TO BE</x:v>
      </x:c>
      <x:c r="D1" s="1174" t="str">
        <x:v>РАСЧЕТ ЭФФЕКТОВ AS IS / TO BE</x:v>
      </x:c>
      <x:c r="E1" s="1174" t="str">
        <x:v>РАСЧЕТ ЭФФЕКТОВ AS IS / TO BE</x:v>
      </x:c>
      <x:c r="F1" s="1174" t="str">
        <x:v>РАСЧЕТ ЭФФЕКТОВ AS IS / TO BE</x:v>
      </x:c>
      <x:c r="G1" s="1174" t="str">
        <x:v>РАСЧЕТ ЭФФЕКТОВ AS IS / TO BE</x:v>
      </x:c>
      <x:c r="H1" s="1174" t="str">
        <x:v>РАСЧЕТ ЭФФЕКТОВ AS IS / TO BE</x:v>
      </x:c>
    </x:row>
    <x:row r="2" ht="34" customHeight="1">
      <x:c r="A2" s="1174" t="str">
        <x:v>РАСЧЕТ ЭФФЕКТОВ AS IS / TO BE</x:v>
      </x:c>
      <x:c r="B2" s="1174" t="str">
        <x:v>РАСЧЕТ ЭФФЕКТОВ AS IS / TO BE</x:v>
      </x:c>
      <x:c r="C2" s="1174" t="str">
        <x:v>РАСЧЕТ ЭФФЕКТОВ AS IS / TO BE</x:v>
      </x:c>
      <x:c r="D2" s="1174" t="str">
        <x:v>РАСЧЕТ ЭФФЕКТОВ AS IS / TO BE</x:v>
      </x:c>
      <x:c r="E2" s="1174" t="str">
        <x:v>РАСЧЕТ ЭФФЕКТОВ AS IS / TO BE</x:v>
      </x:c>
      <x:c r="F2" s="1174" t="str">
        <x:v>РАСЧЕТ ЭФФЕКТОВ AS IS / TO BE</x:v>
      </x:c>
      <x:c r="G2" s="1174" t="str">
        <x:v>РАСЧЕТ ЭФФЕКТОВ AS IS / TO BE</x:v>
      </x:c>
      <x:c r="H2" s="1174" t="str">
        <x:v>РАСЧЕТ ЭФФЕКТОВ AS IS / TO BE</x:v>
      </x:c>
    </x:row>
    <x:row r="3" ht="28" customHeight="1">
      <x:c r="A3" s="1178" t="str">
        <x:v>Физический эффект отделен от денежного. Трудозатраты относятся к UMV, а снижение риска простоя — к DMV.</x:v>
      </x:c>
      <x:c r="B3" s="1178" t="str">
        <x:v>Физический эффект отделен от денежного. Трудозатраты относятся к UMV, а снижение риска простоя — к DMV.</x:v>
      </x:c>
      <x:c r="C3" s="1178" t="str">
        <x:v>Физический эффект отделен от денежного. Трудозатраты относятся к UMV, а снижение риска простоя — к DMV.</x:v>
      </x:c>
      <x:c r="D3" s="1178" t="str">
        <x:v>Физический эффект отделен от денежного. Трудозатраты относятся к UMV, а снижение риска простоя — к DMV.</x:v>
      </x:c>
      <x:c r="E3" s="1178" t="str">
        <x:v>Физический эффект отделен от денежного. Трудозатраты относятся к UMV, а снижение риска простоя — к DMV.</x:v>
      </x:c>
      <x:c r="F3" s="1178" t="str">
        <x:v>Физический эффект отделен от денежного. Трудозатраты относятся к UMV, а снижение риска простоя — к DMV.</x:v>
      </x:c>
      <x:c r="G3" s="1178" t="str">
        <x:v>Физический эффект отделен от денежного. Трудозатраты относятся к UMV, а снижение риска простоя — к DMV.</x:v>
      </x:c>
      <x:c r="H3" s="1178" t="str">
        <x:v>Физический эффект отделен от денежного. Трудозатраты относятся к UMV, а снижение риска простоя — к DMV.</x:v>
      </x:c>
      <x:c r="I3" s="1178" t="str">
        <x:v>Физический эффект отделен от денежного. Трудозатраты относятся к UMV, а снижение риска простоя — к DMV.</x:v>
      </x:c>
      <x:c r="J3" s="1178" t="str">
        <x:v>Физический эффект отделен от денежного. Трудозатраты относятся к UMV, а снижение риска простоя — к DMV.</x:v>
      </x:c>
      <x:c r="K3" s="1178" t="str">
        <x:v>Физический эффект отделен от денежного. Трудозатраты относятся к UMV, а снижение риска простоя — к DMV.</x:v>
      </x:c>
      <x:c r="L3" s="1178" t="str">
        <x:v>Физический эффект отделен от денежного. Трудозатраты относятся к UMV, а снижение риска простоя — к DMV.</x:v>
      </x:c>
      <x:c r="M3" s="1178" t="str">
        <x:v>Физический эффект отделен от денежного. Трудозатраты относятся к UMV, а снижение риска простоя — к DMV.</x:v>
      </x:c>
      <x:c r="N3" s="1178" t="str">
        <x:v>Физический эффект отделен от денежного. Трудозатраты относятся к UMV, а снижение риска простоя — к DMV.</x:v>
      </x:c>
    </x:row>
    <x:row r="4" ht="15" hidden="0" customHeight="1">
      <x:c r="A4" s="322"/>
      <x:c r="B4" s="322"/>
      <x:c r="C4" s="322"/>
      <x:c r="D4" s="322"/>
      <x:c r="E4" s="322"/>
      <x:c r="F4" s="322"/>
      <x:c r="G4" s="322"/>
    </x:row>
    <x:row r="5" ht="24" hidden="0" customHeight="1">
      <x:c r="A5" s="1219" t="str">
        <x:v>1. Операционный эффект</x:v>
      </x:c>
      <x:c r="B5" s="1219" t="str">
        <x:v>1. Операционный эффект</x:v>
      </x:c>
      <x:c r="C5" s="1219" t="str">
        <x:v>1. Операционный эффект</x:v>
      </x:c>
      <x:c r="D5" s="1219" t="str">
        <x:v>1. Операционный эффект</x:v>
      </x:c>
      <x:c r="E5" s="1219" t="str">
        <x:v>1. Операционный эффект</x:v>
      </x:c>
      <x:c r="F5" s="322"/>
      <x:c r="G5" s="322"/>
    </x:row>
    <x:row r="6" ht="15" hidden="0" customHeight="1">
      <x:c r="A6" s="1188" t="str">
        <x:v>Показатель</x:v>
      </x:c>
      <x:c r="B6" s="1188" t="str">
        <x:v>AS IS</x:v>
      </x:c>
      <x:c r="C6" s="1188" t="str">
        <x:v>TO BE</x:v>
      </x:c>
      <x:c r="D6" s="1188" t="str">
        <x:v>Изменение</x:v>
      </x:c>
      <x:c r="E6" s="1188" t="str">
        <x:v>Эффект</x:v>
      </x:c>
      <x:c r="F6" s="322"/>
      <x:c r="G6" s="322"/>
    </x:row>
    <x:row r="7" ht="28" hidden="0" customHeight="1">
      <x:c r="A7" s="1220" t="str">
        <x:v>Ручная обработка L1, ч/день</x:v>
      </x:c>
      <x:c r="B7" s="1729" t="n">
        <x:f>'Исходные данные'!C36</x:f>
        <x:v>48</x:v>
      </x:c>
      <x:c r="C7" s="1729" t="n">
        <x:f>'Исходные данные'!C36*(1-'Исходные данные'!C37)</x:f>
        <x:v>19.200000000000003</x:v>
      </x:c>
      <x:c r="D7" s="1244" t="n">
        <x:f>B7-C7</x:f>
        <x:v>28.799999999999997</x:v>
      </x:c>
      <x:c r="E7" s="1245" t="n">
        <x:f>D7/B7</x:f>
        <x:v>0.6</x:v>
      </x:c>
      <x:c r="F7" s="322"/>
      <x:c r="G7" s="322"/>
    </x:row>
    <x:row r="8" ht="28" hidden="0" customHeight="1">
      <x:c r="A8" s="1222" t="str">
        <x:v>Ручная обработка L1, ч/год</x:v>
      </x:c>
      <x:c r="B8" s="1730" t="n">
        <x:f>B7*'Исходные данные'!C38</x:f>
        <x:v>17520</x:v>
      </x:c>
      <x:c r="C8" s="1730" t="n">
        <x:f>C7*'Исходные данные'!C38</x:f>
        <x:v>7008.000000000001</x:v>
      </x:c>
      <x:c r="D8" s="1246" t="n">
        <x:f>B8-C8</x:f>
        <x:v>10512</x:v>
      </x:c>
      <x:c r="E8" s="1224" t="n">
        <x:f>D8/B8</x:f>
        <x:v>0.6</x:v>
      </x:c>
      <x:c r="F8" s="322"/>
      <x:c r="G8" s="322"/>
    </x:row>
    <x:row r="9" ht="28" hidden="0" customHeight="1">
      <x:c r="A9" s="1222" t="str">
        <x:v>Высвобожденное время, ч/год</x:v>
      </x:c>
      <x:c r="B9" s="1246" t="n">
        <x:f>B8</x:f>
        <x:v>17520</x:v>
      </x:c>
      <x:c r="C9" s="1246" t="n">
        <x:f>C8</x:f>
        <x:v>7008.000000000001</x:v>
      </x:c>
      <x:c r="D9" s="1246" t="n">
        <x:f>B9-C9</x:f>
        <x:v>10512</x:v>
      </x:c>
      <x:c r="E9" s="1224" t="n">
        <x:f>D9/B9</x:f>
        <x:v>0.6</x:v>
      </x:c>
      <x:c r="F9" s="322"/>
      <x:c r="G9" s="322"/>
    </x:row>
    <x:row r="10" ht="28" hidden="0" customHeight="1">
      <x:c r="A10" s="1222" t="str">
        <x:v>Стоимость ресурса, млн руб./год</x:v>
      </x:c>
      <x:c r="B10" s="1723" t="n">
        <x:f>B9*'Исходные данные'!C40/1000000</x:f>
        <x:v>35.04</x:v>
      </x:c>
      <x:c r="C10" s="1723" t="n">
        <x:f>C9*'Исходные данные'!C40/1000000</x:f>
        <x:v>14.016000000000002</x:v>
      </x:c>
      <x:c r="D10" s="1227" t="n">
        <x:f>B10-C10</x:f>
        <x:v>21.023999999999997</x:v>
      </x:c>
      <x:c r="E10" s="1224" t="n">
        <x:f>D10/B10</x:f>
        <x:v>0.6</x:v>
      </x:c>
      <x:c r="F10" s="322"/>
      <x:c r="G10" s="322"/>
    </x:row>
    <x:row r="11" ht="28" hidden="0" customHeight="1">
      <x:c r="A11" s="1222" t="str">
        <x:v>Признанный эффект ФОТ, млн руб./год</x:v>
      </x:c>
      <x:c r="B11" s="1723" t="n">
        <x:f>'Исходные данные'!C43</x:f>
        <x:v>4.4</x:v>
      </x:c>
      <x:c r="C11" s="1227" t="n">
        <x:f>0</x:f>
        <x:v>0</x:v>
      </x:c>
      <x:c r="D11" s="1227" t="n">
        <x:f>B11-C11</x:f>
        <x:v>4.4</x:v>
      </x:c>
      <x:c r="E11" s="1224" t="n">
        <x:f>D11/B11</x:f>
        <x:v>1</x:v>
      </x:c>
      <x:c r="F11" s="322"/>
      <x:c r="G11" s="322"/>
    </x:row>
    <x:row r="12" ht="28" hidden="0" customHeight="1">
      <x:c r="A12" s="1222" t="str">
        <x:v>Информационный шум / ложные срабатывания</x:v>
      </x:c>
      <x:c r="B12" s="1727" t="n">
        <x:f>'Исходные данные'!C63</x:f>
        <x:v>0.65</x:v>
      </x:c>
      <x:c r="C12" s="1727" t="n">
        <x:f>'Исходные данные'!C64</x:f>
        <x:v>0.05</x:v>
      </x:c>
      <x:c r="D12" s="1224" t="n">
        <x:f>B12-C12</x:f>
        <x:v>0.6</x:v>
      </x:c>
      <x:c r="E12" s="1224" t="n">
        <x:f>D12/B12</x:f>
        <x:v>0.923076923076923</x:v>
      </x:c>
      <x:c r="F12" s="322"/>
      <x:c r="G12" s="322"/>
    </x:row>
    <x:row r="13" ht="28" hidden="0" customHeight="1">
      <x:c r="A13" s="1222" t="str">
        <x:v>Получатели P0, чел.</x:v>
      </x:c>
      <x:c r="B13" s="1731" t="n">
        <x:f>'Исходные данные'!C65</x:f>
        <x:v>200</x:v>
      </x:c>
      <x:c r="C13" s="1731" t="n">
        <x:f>'Исходные данные'!C66</x:f>
        <x:v>2</x:v>
      </x:c>
      <x:c r="D13" s="1247" t="n">
        <x:f>B13-C13</x:f>
        <x:v>198</x:v>
      </x:c>
      <x:c r="E13" s="1224" t="n">
        <x:f>D13/B13</x:f>
        <x:v>0.99</x:v>
      </x:c>
      <x:c r="F13" s="322"/>
      <x:c r="G13" s="322"/>
    </x:row>
    <x:row r="14" ht="28" hidden="0" customHeight="1">
      <x:c r="A14" s="1222" t="str">
        <x:v>События мониторинга, шт./сутки</x:v>
      </x:c>
      <x:c r="B14" s="1731" t="n">
        <x:f>'Исходные данные'!C62</x:f>
        <x:v>5400</x:v>
      </x:c>
      <x:c r="C14" s="1731" t="n">
        <x:f>'Исходные данные'!C62</x:f>
        <x:v>5400</x:v>
      </x:c>
      <x:c r="D14" s="1247" t="n">
        <x:f>B14-C14</x:f>
        <x:v>0</x:v>
      </x:c>
      <x:c r="E14" s="1224" t="n">
        <x:f>0</x:f>
        <x:v>0</x:v>
      </x:c>
      <x:c r="F14" s="322"/>
      <x:c r="G14" s="322"/>
    </x:row>
    <x:row r="15" ht="28" hidden="0" customHeight="1">
      <x:c r="A15" s="1222" t="str">
        <x:v>Ущерб от одного инцидента, млн руб.</x:v>
      </x:c>
      <x:c r="B15" s="1723" t="n">
        <x:f>'Исходные данные'!C50</x:f>
        <x:v>3.2</x:v>
      </x:c>
      <x:c r="C15" s="1723" t="n">
        <x:f>'Исходные данные'!C50</x:f>
        <x:v>3.2</x:v>
      </x:c>
      <x:c r="D15" s="1227" t="n">
        <x:f>0</x:f>
        <x:v>0</x:v>
      </x:c>
      <x:c r="E15" s="1224" t="n">
        <x:f>0</x:f>
        <x:v>0</x:v>
      </x:c>
      <x:c r="F15" s="322"/>
      <x:c r="G15" s="322"/>
    </x:row>
    <x:row r="16" ht="28" hidden="0" customHeight="1">
      <x:c r="A16" s="1222" t="str">
        <x:v>Ожидаемый риск-эффект, млн руб./год</x:v>
      </x:c>
      <x:c r="B16" s="1723" t="n">
        <x:f>'Исходные данные'!C50*'Исходные данные'!C51</x:f>
        <x:v>9.600000000000001</x:v>
      </x:c>
      <x:c r="C16" s="1723" t="n">
        <x:f>B16-'Исходные данные'!C54</x:f>
        <x:v>8.400000000000002</x:v>
      </x:c>
      <x:c r="D16" s="1227" t="n">
        <x:f>B16-C16</x:f>
        <x:v>1.1999999999999993</x:v>
      </x:c>
      <x:c r="E16" s="1224" t="n">
        <x:f>D16/B16</x:f>
        <x:v>0.1249999999999999</x:v>
      </x:c>
      <x:c r="F16" s="322"/>
      <x:c r="G16" s="322"/>
    </x:row>
    <x:row r="17" ht="28" hidden="0" customHeight="1">
      <x:c r="A17" s="1229" t="str">
        <x:v>Годовой признанный эффект, млн руб.</x:v>
      </x:c>
      <x:c r="B17" s="1230" t="n">
        <x:f>B11+B16</x:f>
        <x:v>14.000000000000002</x:v>
      </x:c>
      <x:c r="C17" s="1230" t="n">
        <x:f>C11+C16</x:f>
        <x:v>8.400000000000002</x:v>
      </x:c>
      <x:c r="D17" s="1230" t="n">
        <x:f>D11+D16</x:f>
        <x:v>5.6</x:v>
      </x:c>
      <x:c r="E17" s="1248" t="n">
        <x:f>D17/B17</x:f>
        <x:v>0.3999999999999999</x:v>
      </x:c>
      <x:c r="F17" s="322"/>
      <x:c r="G17" s="322"/>
    </x:row>
    <x:row r="18" ht="28" hidden="0" customHeight="1">
      <x:c r="A18" s="322"/>
      <x:c r="B18" s="322"/>
      <x:c r="C18" s="322"/>
      <x:c r="D18" s="322"/>
      <x:c r="E18" s="322"/>
      <x:c r="F18" s="322"/>
      <x:c r="G18" s="322"/>
    </x:row>
    <x:row r="19" ht="28" hidden="0" customHeight="1">
      <x:c r="A19" s="322"/>
      <x:c r="B19" s="322"/>
      <x:c r="C19" s="322"/>
      <x:c r="D19" s="322"/>
      <x:c r="E19" s="322"/>
      <x:c r="F19" s="322"/>
      <x:c r="G19" s="322"/>
    </x:row>
    <x:row r="20" ht="28" hidden="0" customHeight="1">
      <x:c r="A20" s="1219" t="str">
        <x:v>2. Денежный поток по методике NPV / UMV / DMV</x:v>
      </x:c>
      <x:c r="B20" s="1219" t="str">
        <x:v>2. Денежный поток по методике NPV / UMV / DMV</x:v>
      </x:c>
      <x:c r="C20" s="1219" t="str">
        <x:v>2. Денежный поток по методике NPV / UMV / DMV</x:v>
      </x:c>
      <x:c r="D20" s="1219" t="str">
        <x:v>2. Денежный поток по методике NPV / UMV / DMV</x:v>
      </x:c>
      <x:c r="E20" s="1219" t="str">
        <x:v>2. Денежный поток по методике NPV / UMV / DMV</x:v>
      </x:c>
      <x:c r="F20" s="1219" t="str">
        <x:v>2. Денежный поток по методике NPV / UMV / DMV</x:v>
      </x:c>
      <x:c r="G20" s="1219" t="str">
        <x:v>2. Денежный поток по методике NPV / UMV / DMV</x:v>
      </x:c>
    </x:row>
    <x:row r="21" ht="28" hidden="0" customHeight="1">
      <x:c r="A21" s="1188" t="str">
        <x:v>Показатель</x:v>
      </x:c>
      <x:c r="B21" s="1188" t="n">
        <x:v>2026</x:v>
      </x:c>
      <x:c r="C21" s="1188" t="n">
        <x:v>2027</x:v>
      </x:c>
      <x:c r="D21" s="1188" t="n">
        <x:v>2028</x:v>
      </x:c>
      <x:c r="E21" s="1188" t="n">
        <x:v>2029</x:v>
      </x:c>
      <x:c r="F21" s="1188" t="n">
        <x:v>2030</x:v>
      </x:c>
      <x:c r="G21" s="1188" t="n">
        <x:v>2031</x:v>
      </x:c>
    </x:row>
    <x:row r="22" ht="28" hidden="0" customHeight="1">
      <x:c r="A22" s="1220" t="str">
        <x:v>Период</x:v>
      </x:c>
      <x:c r="B22" s="1220" t="n">
        <x:v>0</x:v>
      </x:c>
      <x:c r="C22" s="1220" t="n">
        <x:v>1</x:v>
      </x:c>
      <x:c r="D22" s="1220" t="n">
        <x:v>2</x:v>
      </x:c>
      <x:c r="E22" s="1220" t="n">
        <x:v>3</x:v>
      </x:c>
      <x:c r="F22" s="1220" t="n">
        <x:v>4</x:v>
      </x:c>
      <x:c r="G22" s="1220" t="n">
        <x:v>5</x:v>
      </x:c>
    </x:row>
    <x:row r="23" ht="28" hidden="0" customHeight="1">
      <x:c r="A23" s="1222" t="str">
        <x:v>Коэффициент выхода на эффект</x:v>
      </x:c>
      <x:c r="B23" s="1224" t="n">
        <x:f>0</x:f>
        <x:v>0</x:v>
      </x:c>
      <x:c r="C23" s="1727" t="n">
        <x:f>'Исходные данные'!C59</x:f>
        <x:v>0.5</x:v>
      </x:c>
      <x:c r="D23" s="1727" t="n">
        <x:f>'Исходные данные'!C60</x:f>
        <x:v>0.8</x:v>
      </x:c>
      <x:c r="E23" s="1727" t="n">
        <x:f>'Исходные данные'!C61</x:f>
        <x:v>1</x:v>
      </x:c>
      <x:c r="F23" s="1727" t="n">
        <x:f>'Исходные данные'!C61</x:f>
        <x:v>1</x:v>
      </x:c>
      <x:c r="G23" s="1727" t="n">
        <x:f>'Исходные данные'!C61</x:f>
        <x:v>1</x:v>
      </x:c>
    </x:row>
    <x:row r="24" ht="28" hidden="0" customHeight="1">
      <x:c r="A24" s="1222" t="str">
        <x:v>CAPEX</x:v>
      </x:c>
      <x:c r="B24" s="1723" t="n">
        <x:f>'Исходные данные'!C27</x:f>
        <x:v>21.175</x:v>
      </x:c>
      <x:c r="C24" s="1227" t="n">
        <x:f>0</x:f>
        <x:v>0</x:v>
      </x:c>
      <x:c r="D24" s="1227" t="n">
        <x:f>0</x:f>
        <x:v>0</x:v>
      </x:c>
      <x:c r="E24" s="1227" t="n">
        <x:f>0</x:f>
        <x:v>0</x:v>
      </x:c>
      <x:c r="F24" s="1227" t="n">
        <x:f>0</x:f>
        <x:v>0</x:v>
      </x:c>
      <x:c r="G24" s="1227" t="n">
        <x:f>0</x:f>
        <x:v>0</x:v>
      </x:c>
    </x:row>
    <x:row r="25" ht="28" hidden="0" customHeight="1">
      <x:c r="A25" s="1222" t="str">
        <x:v>OPEX</x:v>
      </x:c>
      <x:c r="B25" s="1227" t="n">
        <x:f>0</x:f>
        <x:v>0</x:v>
      </x:c>
      <x:c r="C25" s="1723" t="n">
        <x:f>'Исходные данные'!C32</x:f>
        <x:v>1.51</x:v>
      </x:c>
      <x:c r="D25" s="1723" t="n">
        <x:f>'Исходные данные'!C32</x:f>
        <x:v>1.51</x:v>
      </x:c>
      <x:c r="E25" s="1723" t="n">
        <x:f>'Исходные данные'!C32</x:f>
        <x:v>1.51</x:v>
      </x:c>
      <x:c r="F25" s="1723" t="n">
        <x:f>'Исходные данные'!C32</x:f>
        <x:v>1.51</x:v>
      </x:c>
      <x:c r="G25" s="1723" t="n">
        <x:f>'Исходные данные'!C32</x:f>
        <x:v>1.51</x:v>
      </x:c>
    </x:row>
    <x:row r="26" ht="28" hidden="0" customHeight="1">
      <x:c r="A26" s="1222" t="str">
        <x:v>Прямой денежный эффект</x:v>
      </x:c>
      <x:c r="B26" s="1227" t="n">
        <x:v>0</x:v>
      </x:c>
      <x:c r="C26" s="1227" t="n">
        <x:v>0</x:v>
      </x:c>
      <x:c r="D26" s="1227" t="n">
        <x:v>0</x:v>
      </x:c>
      <x:c r="E26" s="1227" t="n">
        <x:v>0</x:v>
      </x:c>
      <x:c r="F26" s="1227" t="n">
        <x:v>0</x:v>
      </x:c>
      <x:c r="G26" s="1227" t="n">
        <x:v>0</x:v>
      </x:c>
    </x:row>
    <x:row r="27" ht="28" hidden="0" customHeight="1">
      <x:c r="A27" s="1222" t="str">
        <x:v>Косвенный эффект трудозатрат, UMV</x:v>
      </x:c>
      <x:c r="B27" s="1227" t="n">
        <x:f>0</x:f>
        <x:v>0</x:v>
      </x:c>
      <x:c r="C27" s="1723" t="n">
        <x:f>'Исходные данные'!C45*C23</x:f>
        <x:v>2.2</x:v>
      </x:c>
      <x:c r="D27" s="1723" t="n">
        <x:f>'Исходные данные'!C45*D23</x:f>
        <x:v>3.5200000000000005</x:v>
      </x:c>
      <x:c r="E27" s="1723" t="n">
        <x:f>'Исходные данные'!C45*E23</x:f>
        <x:v>4.4</x:v>
      </x:c>
      <x:c r="F27" s="1723" t="n">
        <x:f>'Исходные данные'!C45*F23</x:f>
        <x:v>4.4</x:v>
      </x:c>
      <x:c r="G27" s="1723" t="n">
        <x:f>'Исходные данные'!C45*G23</x:f>
        <x:v>4.4</x:v>
      </x:c>
    </x:row>
    <x:row r="28" ht="28" hidden="0" customHeight="1">
      <x:c r="A28" s="1222" t="str">
        <x:v>Снижение риска, DMV</x:v>
      </x:c>
      <x:c r="B28" s="1227" t="n">
        <x:f>0</x:f>
        <x:v>0</x:v>
      </x:c>
      <x:c r="C28" s="1723" t="n">
        <x:f>'Исходные данные'!C54*C23</x:f>
        <x:v>0.6000000000000001</x:v>
      </x:c>
      <x:c r="D28" s="1723" t="n">
        <x:f>'Исходные данные'!C54*D23</x:f>
        <x:v>0.9600000000000002</x:v>
      </x:c>
      <x:c r="E28" s="1723" t="n">
        <x:f>'Исходные данные'!C54*E23</x:f>
        <x:v>1.2000000000000002</x:v>
      </x:c>
      <x:c r="F28" s="1723" t="n">
        <x:f>'Исходные данные'!C54*F23</x:f>
        <x:v>1.2000000000000002</x:v>
      </x:c>
      <x:c r="G28" s="1723" t="n">
        <x:f>'Исходные данные'!C54*G23</x:f>
        <x:v>1.2000000000000002</x:v>
      </x:c>
    </x:row>
    <x:row r="29" ht="28" hidden="0" customHeight="1">
      <x:c r="A29" s="1249" t="str">
        <x:v>Совокупный ожидаемый эффект</x:v>
      </x:c>
      <x:c r="B29" s="1250" t="n">
        <x:f>SUM(B26:B28)</x:f>
        <x:v>0</x:v>
      </x:c>
      <x:c r="C29" s="1250" t="n">
        <x:f>SUM(C26:C28)</x:f>
        <x:v>2.8000000000000003</x:v>
      </x:c>
      <x:c r="D29" s="1250" t="n">
        <x:f>SUM(D26:D28)</x:f>
        <x:v>4.48</x:v>
      </x:c>
      <x:c r="E29" s="1250" t="n">
        <x:f>SUM(E26:E28)</x:f>
        <x:v>5.6000000000000005</x:v>
      </x:c>
      <x:c r="F29" s="1250" t="n">
        <x:f>SUM(F26:F28)</x:f>
        <x:v>5.6000000000000005</x:v>
      </x:c>
      <x:c r="G29" s="1250" t="n">
        <x:f>SUM(G26:G28)</x:f>
        <x:v>5.6000000000000005</x:v>
      </x:c>
    </x:row>
    <x:row r="30" ht="28" hidden="0" customHeight="1">
      <x:c r="A30" s="1222" t="str">
        <x:v>FCF для NPV</x:v>
      </x:c>
      <x:c r="B30" s="1227" t="n">
        <x:f>B26-B24-B25</x:f>
        <x:v>-21.175</x:v>
      </x:c>
      <x:c r="C30" s="1227" t="n">
        <x:f>C26-C24-C25</x:f>
        <x:v>-1.51</x:v>
      </x:c>
      <x:c r="D30" s="1227" t="n">
        <x:f>D26-D24-D25</x:f>
        <x:v>-1.51</x:v>
      </x:c>
      <x:c r="E30" s="1227" t="n">
        <x:f>E26-E24-E25</x:f>
        <x:v>-1.51</x:v>
      </x:c>
      <x:c r="F30" s="1227" t="n">
        <x:f>F26-F24-F25</x:f>
        <x:v>-1.51</x:v>
      </x:c>
      <x:c r="G30" s="1227" t="n">
        <x:f>G26-G24-G25</x:f>
        <x:v>-1.51</x:v>
      </x:c>
    </x:row>
    <x:row r="31" ht="28" hidden="0" customHeight="1">
      <x:c r="A31" s="1222" t="str">
        <x:v>FCF для UMV</x:v>
      </x:c>
      <x:c r="B31" s="1227" t="n">
        <x:f>B26+B27-B24-B25</x:f>
        <x:v>-21.175</x:v>
      </x:c>
      <x:c r="C31" s="1227" t="n">
        <x:f>C26+C27-C24-C25</x:f>
        <x:v>0.6900000000000002</x:v>
      </x:c>
      <x:c r="D31" s="1227" t="n">
        <x:f>D26+D27-D24-D25</x:f>
        <x:v>2.0100000000000007</x:v>
      </x:c>
      <x:c r="E31" s="1227" t="n">
        <x:f>E26+E27-E24-E25</x:f>
        <x:v>2.8900000000000006</x:v>
      </x:c>
      <x:c r="F31" s="1227" t="n">
        <x:f>F26+F27-F24-F25</x:f>
        <x:v>2.8900000000000006</x:v>
      </x:c>
      <x:c r="G31" s="1227" t="n">
        <x:f>G26+G27-G24-G25</x:f>
        <x:v>2.8900000000000006</x:v>
      </x:c>
    </x:row>
    <x:row r="32" ht="28" hidden="0" customHeight="1">
      <x:c r="A32" s="1251" t="str">
        <x:v>FCF для DMV</x:v>
      </x:c>
      <x:c r="B32" s="1252" t="n">
        <x:f>B29-B24-B25</x:f>
        <x:v>-21.175</x:v>
      </x:c>
      <x:c r="C32" s="1252" t="n">
        <x:f>C29-C24-C25</x:f>
        <x:v>1.2900000000000003</x:v>
      </x:c>
      <x:c r="D32" s="1252" t="n">
        <x:f>D29-D24-D25</x:f>
        <x:v>2.9700000000000006</x:v>
      </x:c>
      <x:c r="E32" s="1252" t="n">
        <x:f>E29-E24-E25</x:f>
        <x:v>4.090000000000001</x:v>
      </x:c>
      <x:c r="F32" s="1252" t="n">
        <x:f>F29-F24-F25</x:f>
        <x:v>4.090000000000001</x:v>
      </x:c>
      <x:c r="G32" s="1252" t="n">
        <x:f>G29-G24-G25</x:f>
        <x:v>4.090000000000001</x:v>
      </x:c>
    </x:row>
    <x:row r="33" ht="28" hidden="0" customHeight="1">
      <x:c r="A33" s="1222" t="str">
        <x:v>Коэффициент дисконтирования</x:v>
      </x:c>
      <x:c r="B33" s="1732" t="n">
        <x:f>1/(1+'Исходные данные'!$C$9)^(B22+0.5)</x:f>
        <x:v>0.9304842103984707</x:v>
      </x:c>
      <x:c r="C33" s="1732" t="n">
        <x:f>1/(1+'Исходные данные'!$C$9)^(C22+0.5)</x:f>
        <x:v>0.805614034977031</x:v>
      </x:c>
      <x:c r="D33" s="1732" t="n">
        <x:f>1/(1+'Исходные данные'!$C$9)^(D22+0.5)</x:f>
        <x:v>0.6975013289844424</x:v>
      </x:c>
      <x:c r="E33" s="1732" t="n">
        <x:f>1/(1+'Исходные данные'!$C$9)^(E22+0.5)</x:f>
        <x:v>0.6038972545319847</x:v>
      </x:c>
      <x:c r="F33" s="1732" t="n">
        <x:f>1/(1+'Исходные данные'!$C$9)^(F22+0.5)</x:f>
        <x:v>0.5228547658285582</x:v>
      </x:c>
      <x:c r="G33" s="1732" t="n">
        <x:f>1/(1+'Исходные данные'!$C$9)^(G22+0.5)</x:f>
        <x:v>0.45268810894247463</x:v>
      </x:c>
    </x:row>
    <x:row r="34" ht="28" hidden="0" customHeight="1">
      <x:c r="A34" s="1222" t="str">
        <x:v>DCF для NPV</x:v>
      </x:c>
      <x:c r="B34" s="1227" t="n">
        <x:f>B30*B33</x:f>
        <x:v>-19.70300315518762</x:v>
      </x:c>
      <x:c r="C34" s="1227" t="n">
        <x:f>C30*C33</x:f>
        <x:v>-1.2164771928153169</x:v>
      </x:c>
      <x:c r="D34" s="1227" t="n">
        <x:f>D30*D33</x:f>
        <x:v>-1.053227006766508</x:v>
      </x:c>
      <x:c r="E34" s="1227" t="n">
        <x:f>E30*E33</x:f>
        <x:v>-0.9118848543432969</x:v>
      </x:c>
      <x:c r="F34" s="1227" t="n">
        <x:f>F30*F33</x:f>
        <x:v>-0.7895106964011228</x:v>
      </x:c>
      <x:c r="G34" s="1227" t="n">
        <x:f>G30*G33</x:f>
        <x:v>-0.6835590445031366</x:v>
      </x:c>
    </x:row>
    <x:row r="35" ht="28" hidden="0" customHeight="1">
      <x:c r="A35" s="1222" t="str">
        <x:v>DCF для UMV</x:v>
      </x:c>
      <x:c r="B35" s="1227" t="n">
        <x:f>B31*B33</x:f>
        <x:v>-19.70300315518762</x:v>
      </x:c>
      <x:c r="C35" s="1227" t="n">
        <x:f>C31*C33</x:f>
        <x:v>0.5558736841341515</x:v>
      </x:c>
      <x:c r="D35" s="1227" t="n">
        <x:f>D31*D33</x:f>
        <x:v>1.4019776712587297</x:v>
      </x:c>
      <x:c r="E35" s="1227" t="n">
        <x:f>E31*E33</x:f>
        <x:v>1.7452630655974362</x:v>
      </x:c>
      <x:c r="F35" s="1227" t="n">
        <x:f>F31*F33</x:f>
        <x:v>1.5110502732445334</x:v>
      </x:c>
      <x:c r="G35" s="1227" t="n">
        <x:f>G31*G33</x:f>
        <x:v>1.308268634843752</x:v>
      </x:c>
    </x:row>
    <x:row r="36" ht="28" hidden="0" customHeight="1">
      <x:c r="A36" s="1233" t="str">
        <x:v>DCF для DMV</x:v>
      </x:c>
      <x:c r="B36" s="1234" t="n">
        <x:f>B32*B33</x:f>
        <x:v>-19.70300315518762</x:v>
      </x:c>
      <x:c r="C36" s="1234" t="n">
        <x:f>C32*C33</x:f>
        <x:v>1.0392421051203702</x:v>
      </x:c>
      <x:c r="D36" s="1234" t="n">
        <x:f>D32*D33</x:f>
        <x:v>2.071578947083794</x:v>
      </x:c>
      <x:c r="E36" s="1234" t="n">
        <x:f>E32*E33</x:f>
        <x:v>2.469939771035818</x:v>
      </x:c>
      <x:c r="F36" s="1234" t="n">
        <x:f>F32*F33</x:f>
        <x:v>2.1384759922388032</x:v>
      </x:c>
      <x:c r="G36" s="1234" t="n">
        <x:f>G32*G33</x:f>
        <x:v>1.8514943655747216</x:v>
      </x:c>
    </x:row>
    <x:row r="37" ht="28" hidden="0" customHeight="1">
      <x:c r="A37" s="1222" t="str">
        <x:v>Накопленный FCF (DMV)</x:v>
      </x:c>
      <x:c r="B37" s="1227" t="n">
        <x:f>B32</x:f>
        <x:v>-21.175</x:v>
      </x:c>
      <x:c r="C37" s="1227" t="n">
        <x:f>B37+C32</x:f>
        <x:v>-19.885</x:v>
      </x:c>
      <x:c r="D37" s="1227" t="n">
        <x:f>C37+D32</x:f>
        <x:v>-16.915</x:v>
      </x:c>
      <x:c r="E37" s="1227" t="n">
        <x:f>D37+E32</x:f>
        <x:v>-12.825</x:v>
      </x:c>
      <x:c r="F37" s="1227" t="n">
        <x:f>E37+F32</x:f>
        <x:v>-8.735</x:v>
      </x:c>
      <x:c r="G37" s="1227" t="n">
        <x:f>F37+G32</x:f>
        <x:v>-4.644999999999999</x:v>
      </x:c>
    </x:row>
    <x:row r="38" ht="28" hidden="0" customHeight="1">
      <x:c r="A38" s="1233" t="str">
        <x:v>Накопленный DCF (CDD)</x:v>
      </x:c>
      <x:c r="B38" s="1234" t="n">
        <x:f>B36</x:f>
        <x:v>-19.70300315518762</x:v>
      </x:c>
      <x:c r="C38" s="1234" t="n">
        <x:f>B38+C36</x:f>
        <x:v>-18.66376105006725</x:v>
      </x:c>
      <x:c r="D38" s="1234" t="n">
        <x:f>C38+D36</x:f>
        <x:v>-16.592182102983458</x:v>
      </x:c>
      <x:c r="E38" s="1234" t="n">
        <x:f>D38+E36</x:f>
        <x:v>-14.12224233194764</x:v>
      </x:c>
      <x:c r="F38" s="1234" t="n">
        <x:f>E38+F36</x:f>
        <x:v>-11.983766339708836</x:v>
      </x:c>
      <x:c r="G38" s="1234" t="n">
        <x:f>F38+G36</x:f>
        <x:v>-10.132271974134115</x:v>
      </x:c>
    </x:row>
    <x:row r="39" ht="28" hidden="0" customHeight="1">
      <x:c r="A39" s="1222" t="str">
        <x:v>Накопленные затраты</x:v>
      </x:c>
      <x:c r="B39" s="1227" t="n">
        <x:f>B24+B25</x:f>
        <x:v>21.175</x:v>
      </x:c>
      <x:c r="C39" s="1227" t="n">
        <x:f>B39+C24+C25</x:f>
        <x:v>22.685000000000002</x:v>
      </x:c>
      <x:c r="D39" s="1227" t="n">
        <x:f>C39+D24+D25</x:f>
        <x:v>24.195000000000004</x:v>
      </x:c>
      <x:c r="E39" s="1227" t="n">
        <x:f>D39+E24+E25</x:f>
        <x:v>25.705000000000005</x:v>
      </x:c>
      <x:c r="F39" s="1227" t="n">
        <x:f>E39+F24+F25</x:f>
        <x:v>27.215000000000007</x:v>
      </x:c>
      <x:c r="G39" s="1227" t="n">
        <x:f>F39+G24+G25</x:f>
        <x:v>28.72500000000001</x:v>
      </x:c>
    </x:row>
    <x:row r="40" ht="28" hidden="0" customHeight="1">
      <x:c r="A40" s="1222" t="str">
        <x:v>Накопленные эффекты</x:v>
      </x:c>
      <x:c r="B40" s="1227" t="n">
        <x:f>B29</x:f>
        <x:v>0</x:v>
      </x:c>
      <x:c r="C40" s="1227" t="n">
        <x:f>B40+C29</x:f>
        <x:v>2.8000000000000003</x:v>
      </x:c>
      <x:c r="D40" s="1227" t="n">
        <x:f>C40+D29</x:f>
        <x:v>7.280000000000001</x:v>
      </x:c>
      <x:c r="E40" s="1227" t="n">
        <x:f>D40+E29</x:f>
        <x:v>12.880000000000003</x:v>
      </x:c>
      <x:c r="F40" s="1227" t="n">
        <x:f>E40+F29</x:f>
        <x:v>18.480000000000004</x:v>
      </x:c>
      <x:c r="G40" s="1227" t="n">
        <x:f>F40+G29</x:f>
        <x:v>24.080000000000005</x:v>
      </x:c>
    </x:row>
    <x:row r="41">
      <x:c r="A41"/>
      <x:c r="B41"/>
    </x:row>
  </x:sheetData>
  <x:mergeCells>
    <x:mergeCell ref="A1:H2"/>
    <x:mergeCell ref="A3:N3"/>
    <x:mergeCell ref="A5:E5"/>
    <x:mergeCell ref="A20:G20"/>
  </x:mergeCells>
  <x:conditionalFormatting sqref="A33:B4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8" hidden="0" customWidth="1"/>
    <x:col min="10" max="10" width="18" hidden="0" customWidth="1"/>
    <x:col min="11" max="11" width="18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 ht="34" customHeight="1">
      <x:c r="A1" s="1174" t="str">
        <x:v>ИНВЕСТИЦИОННЫЕ ИТОГИ ПРОЕКТА</x:v>
      </x:c>
      <x:c r="B1" s="1174" t="str">
        <x:v>ИНВЕСТИЦИОННЫЕ ИТОГИ ПРОЕКТА</x:v>
      </x:c>
      <x:c r="C1" s="1174" t="str">
        <x:v>ИНВЕСТИЦИОННЫЕ ИТОГИ ПРОЕКТА</x:v>
      </x:c>
      <x:c r="D1" s="1174" t="str">
        <x:v>ИНВЕСТИЦИОННЫЕ ИТОГИ ПРОЕКТА</x:v>
      </x:c>
      <x:c r="E1" s="1174" t="str">
        <x:v>ИНВЕСТИЦИОННЫЕ ИТОГИ ПРОЕКТА</x:v>
      </x:c>
      <x:c r="F1" s="1174" t="str">
        <x:v>ИНВЕСТИЦИОННЫЕ ИТОГИ ПРОЕКТА</x:v>
      </x:c>
      <x:c r="G1" s="1174" t="str">
        <x:v>ИНВЕСТИЦИОННЫЕ ИТОГИ ПРОЕКТА</x:v>
      </x:c>
      <x:c r="H1" s="1174" t="str">
        <x:v>ИНВЕСТИЦИОННЫЕ ИТОГИ ПРОЕКТА</x:v>
      </x:c>
      <x:c r="I1" s="1174" t="str">
        <x:v>ИНВЕСТИЦИОННЫЕ ИТОГИ ПРОЕКТА</x:v>
      </x:c>
      <x:c r="J1" s="1174" t="str">
        <x:v>ИНВЕСТИЦИОННЫЕ ИТОГИ ПРОЕКТА</x:v>
      </x:c>
      <x:c r="K1" s="1174" t="str">
        <x:v>ИНВЕСТИЦИОННЫЕ ИТОГИ ПРОЕКТА</x:v>
      </x:c>
      <x:c r="L1" s="1174" t="str">
        <x:v>ИНВЕСТИЦИОННЫЕ ИТОГИ ПРОЕКТА</x:v>
      </x:c>
      <x:c r="M1" s="1174" t="str">
        <x:v>ИНВЕСТИЦИОННЫЕ ИТОГИ ПРОЕКТА</x:v>
      </x:c>
      <x:c r="N1" s="1174" t="str">
        <x:v>ИНВЕСТИЦИОННЫЕ ИТОГИ ПРОЕКТА</x:v>
      </x:c>
      <x:c r="O1" s="1174" t="str">
        <x:v>ИНВЕСТИЦИОННЫЕ ИТОГИ ПРОЕКТА</x:v>
      </x:c>
      <x:c r="P1" s="1174" t="str">
        <x:v>ИНВЕСТИЦИОННЫЕ ИТОГИ ПРОЕКТА</x:v>
      </x:c>
    </x:row>
    <x:row r="2" ht="34" customHeight="1">
      <x:c r="A2" s="1174" t="str">
        <x:v>ИНВЕСТИЦИОННЫЕ ИТОГИ ПРОЕКТА</x:v>
      </x:c>
      <x:c r="B2" s="1174" t="str">
        <x:v>ИНВЕСТИЦИОННЫЕ ИТОГИ ПРОЕКТА</x:v>
      </x:c>
      <x:c r="C2" s="1174" t="str">
        <x:v>ИНВЕСТИЦИОННЫЕ ИТОГИ ПРОЕКТА</x:v>
      </x:c>
      <x:c r="D2" s="1174" t="str">
        <x:v>ИНВЕСТИЦИОННЫЕ ИТОГИ ПРОЕКТА</x:v>
      </x:c>
      <x:c r="E2" s="1174" t="str">
        <x:v>ИНВЕСТИЦИОННЫЕ ИТОГИ ПРОЕКТА</x:v>
      </x:c>
      <x:c r="F2" s="1174" t="str">
        <x:v>ИНВЕСТИЦИОННЫЕ ИТОГИ ПРОЕКТА</x:v>
      </x:c>
      <x:c r="G2" s="1174" t="str">
        <x:v>ИНВЕСТИЦИОННЫЕ ИТОГИ ПРОЕКТА</x:v>
      </x:c>
      <x:c r="H2" s="1174" t="str">
        <x:v>ИНВЕСТИЦИОННЫЕ ИТОГИ ПРОЕКТА</x:v>
      </x:c>
      <x:c r="I2" s="1174" t="str">
        <x:v>ИНВЕСТИЦИОННЫЕ ИТОГИ ПРОЕКТА</x:v>
      </x:c>
      <x:c r="J2" s="1174" t="str">
        <x:v>ИНВЕСТИЦИОННЫЕ ИТОГИ ПРОЕКТА</x:v>
      </x:c>
      <x:c r="K2" s="1174" t="str">
        <x:v>ИНВЕСТИЦИОННЫЕ ИТОГИ ПРОЕКТА</x:v>
      </x:c>
      <x:c r="L2" s="1174" t="str">
        <x:v>ИНВЕСТИЦИОННЫЕ ИТОГИ ПРОЕКТА</x:v>
      </x:c>
      <x:c r="M2" s="1174" t="str">
        <x:v>ИНВЕСТИЦИОННЫЕ ИТОГИ ПРОЕКТА</x:v>
      </x:c>
      <x:c r="N2" s="1174" t="str">
        <x:v>ИНВЕСТИЦИОННЫЕ ИТОГИ ПРОЕКТА</x:v>
      </x:c>
      <x:c r="O2" s="1174" t="str">
        <x:v>ИНВЕСТИЦИОННЫЕ ИТОГИ ПРОЕКТА</x:v>
      </x:c>
      <x:c r="P2" s="1174" t="str">
        <x:v>ИНВЕСТИЦИОННЫЕ ИТОГИ ПРОЕКТА</x:v>
      </x:c>
    </x:row>
    <x:row r="3" ht="28" customHeight="1">
      <x:c r="A3" s="1178" t="str">
        <x:v>Активный сценарий: пилот. Эффекты учитываются по мере выхода на организационный объем.</x:v>
      </x:c>
      <x:c r="B3" s="1178" t="str">
        <x:v>Активный сценарий: пилот. Эффекты учитываются по мере выхода на организационный объем.</x:v>
      </x:c>
      <x:c r="C3" s="1178" t="str">
        <x:v>Активный сценарий: пилот. Эффекты учитываются по мере выхода на организационный объем.</x:v>
      </x:c>
      <x:c r="D3" s="1178" t="str">
        <x:v>Активный сценарий: пилот. Эффекты учитываются по мере выхода на организационный объем.</x:v>
      </x:c>
      <x:c r="E3" s="1178" t="str">
        <x:v>Активный сценарий: пилот. Эффекты учитываются по мере выхода на организационный объем.</x:v>
      </x:c>
      <x:c r="F3" s="1178" t="str">
        <x:v>Активный сценарий: пилот. Эффекты учитываются по мере выхода на организационный объем.</x:v>
      </x:c>
      <x:c r="G3" s="1178" t="str">
        <x:v>Активный сценарий: пилот. Эффекты учитываются по мере выхода на организационный объем.</x:v>
      </x:c>
      <x:c r="H3" s="1178" t="str">
        <x:v>Активный сценарий: пилот. Эффекты учитываются по мере выхода на организационный объем.</x:v>
      </x:c>
      <x:c r="I3" s="1178" t="str">
        <x:v>Активный сценарий: пилот. Эффекты учитываются по мере выхода на организационный объем.</x:v>
      </x:c>
      <x:c r="J3" s="1178" t="str">
        <x:v>Активный сценарий: пилот. Эффекты учитываются по мере выхода на организационный объем.</x:v>
      </x:c>
      <x:c r="K3" s="1178" t="str">
        <x:v>Активный сценарий: пилот. Эффекты учитываются по мере выхода на организационный объем.</x:v>
      </x:c>
      <x:c r="L3" s="1178" t="str">
        <x:v>Активный сценарий: пилот. Эффекты учитываются по мере выхода на организационный объем.</x:v>
      </x:c>
      <x:c r="M3" s="1178" t="str">
        <x:v>Активный сценарий: пилот. Эффекты учитываются по мере выхода на организационный объем.</x:v>
      </x:c>
      <x:c r="N3" s="1178" t="str">
        <x:v>Активный сценарий: пилот. Эффекты учитываются по мере выхода на организационный объем.</x:v>
      </x:c>
      <x:c r="O3" s="322"/>
      <x:c r="P3" s="322"/>
    </x:row>
    <x:row r="4">
      <x:c r="A4" s="322"/>
      <x:c r="B4" s="322"/>
      <x:c r="C4" s="322"/>
      <x:c r="D4" s="322"/>
      <x:c r="E4" s="322"/>
      <x:c r="F4" s="322"/>
      <x:c r="G4" s="322"/>
      <x:c r="H4" s="322"/>
      <x:c r="I4" s="322"/>
      <x:c r="J4" s="322"/>
      <x:c r="K4" s="322"/>
      <x:c r="L4" s="322"/>
      <x:c r="M4" s="322"/>
      <x:c r="N4" s="322"/>
      <x:c r="O4" s="322"/>
      <x:c r="P4" s="322"/>
    </x:row>
    <x:row r="5" ht="24" customHeight="1">
      <x:c r="A5" s="1671" t="str">
        <x:v>NPV — прямой эффект</x:v>
      </x:c>
      <x:c r="B5" s="1671" t="str">
        <x:v>NPV — прямой эффект</x:v>
      </x:c>
      <x:c r="C5" s="1671" t="str">
        <x:v>NPV — прямой эффект</x:v>
      </x:c>
      <x:c r="D5" s="1671" t="str">
        <x:v>NPV — прямой эффект</x:v>
      </x:c>
      <x:c r="E5" s="1671" t="str">
        <x:v>UMV — с учетом ФОТ</x:v>
      </x:c>
      <x:c r="F5" s="1671" t="str">
        <x:v>UMV — с учетом ФОТ</x:v>
      </x:c>
      <x:c r="G5" s="1671" t="str">
        <x:v>UMV — с учетом ФОТ</x:v>
      </x:c>
      <x:c r="H5" s="1671" t="str">
        <x:v>UMV — с учетом ФОТ</x:v>
      </x:c>
      <x:c r="I5" s="1671" t="str">
        <x:v>DMV — с учетом риска</x:v>
      </x:c>
      <x:c r="J5" s="1671" t="str">
        <x:v>DMV — с учетом риска</x:v>
      </x:c>
      <x:c r="K5" s="1671" t="str">
        <x:v>DMV — с учетом риска</x:v>
      </x:c>
      <x:c r="L5" s="1671" t="str">
        <x:v>DMV — с учетом риска</x:v>
      </x:c>
      <x:c r="M5" s="1671" t="str">
        <x:v>J (DMV)</x:v>
      </x:c>
      <x:c r="N5" s="1671" t="str">
        <x:v>J (DMV)</x:v>
      </x:c>
      <x:c r="O5" s="1671" t="str">
        <x:v>J (DMV)</x:v>
      </x:c>
      <x:c r="P5" s="1671" t="str">
        <x:v>J (DMV)</x:v>
      </x:c>
    </x:row>
    <x:row r="6" ht="34" customHeight="1">
      <x:c r="A6" s="1733" t="n">
        <x:f>'Резюме (Проекта 1)'!B19</x:f>
        <x:v>-24.357661950017</x:v>
      </x:c>
      <x:c r="B6" s="1673"/>
      <x:c r="C6" s="1673"/>
      <x:c r="D6" s="1674"/>
      <x:c r="E6" s="1734" t="n">
        <x:f>'Резюме (Проекта 1)'!B21</x:f>
        <x:v>-13.180569826109014</x:v>
      </x:c>
      <x:c r="F6" s="1676"/>
      <x:c r="G6" s="1676"/>
      <x:c r="H6" s="1677"/>
      <x:c r="I6" s="1715" t="n">
        <x:f>'Резюме (Проекта 1)'!B23</x:f>
        <x:v>-10.132271974134115</x:v>
      </x:c>
      <x:c r="J6" s="1679"/>
      <x:c r="K6" s="1679"/>
      <x:c r="L6" s="1680"/>
      <x:c r="M6" s="1735" t="n">
        <x:f>'Резюме (Проекта 1)'!B24</x:f>
        <x:v>0.5840211595461837</x:v>
      </x:c>
      <x:c r="N6" s="1682"/>
      <x:c r="O6" s="1682"/>
      <x:c r="P6" s="1683"/>
    </x:row>
    <x:row r="7" ht="34" customHeight="1">
      <x:c r="A7" s="1684"/>
      <x:c r="B7" s="1685"/>
      <x:c r="C7" s="1685"/>
      <x:c r="D7" s="1686"/>
      <x:c r="E7" s="1687"/>
      <x:c r="F7" s="1688"/>
      <x:c r="G7" s="1688"/>
      <x:c r="H7" s="1689"/>
      <x:c r="I7" s="1690"/>
      <x:c r="J7" s="1691"/>
      <x:c r="K7" s="1691"/>
      <x:c r="L7" s="1692"/>
      <x:c r="M7" s="1693"/>
      <x:c r="N7" s="1694"/>
      <x:c r="O7" s="1694"/>
      <x:c r="P7" s="1695"/>
    </x:row>
    <x:row r="8">
      <x:c r="A8" s="1696"/>
      <x:c r="B8" s="1697"/>
      <x:c r="C8" s="1697"/>
      <x:c r="D8" s="1698"/>
      <x:c r="E8" s="1699"/>
      <x:c r="F8" s="1700"/>
      <x:c r="G8" s="1700"/>
      <x:c r="H8" s="1701"/>
      <x:c r="I8" s="1702"/>
      <x:c r="J8" s="1703"/>
      <x:c r="K8" s="1703"/>
      <x:c r="L8" s="1704"/>
      <x:c r="M8" s="1705"/>
      <x:c r="N8" s="1706"/>
      <x:c r="O8" s="1706"/>
      <x:c r="P8" s="1707"/>
    </x:row>
    <x:row r="9" ht="24" customHeight="1">
      <x:c r="A9" s="322"/>
      <x:c r="B9" s="322"/>
      <x:c r="C9" s="322"/>
      <x:c r="D9" s="322"/>
      <x:c r="E9" s="322"/>
      <x:c r="F9" s="322"/>
      <x:c r="G9" s="322"/>
      <x:c r="H9" s="322"/>
      <x:c r="I9" s="322"/>
      <x:c r="J9" s="322"/>
      <x:c r="K9" s="322"/>
      <x:c r="L9" s="322"/>
      <x:c r="M9" s="322"/>
      <x:c r="N9" s="322"/>
      <x:c r="O9" s="322"/>
      <x:c r="P9" s="322"/>
    </x:row>
    <x:row r="10" ht="34" customHeight="1">
      <x:c r="A10" s="322"/>
      <x:c r="B10" s="322"/>
      <x:c r="C10" s="322"/>
      <x:c r="D10" s="322"/>
      <x:c r="E10" s="322"/>
      <x:c r="F10" s="322"/>
      <x:c r="G10" s="322"/>
      <x:c r="H10" s="322"/>
      <x:c r="I10" s="322"/>
      <x:c r="J10" s="322"/>
      <x:c r="K10" s="322"/>
      <x:c r="L10" s="322"/>
      <x:c r="M10" s="322"/>
      <x:c r="N10" s="322"/>
      <x:c r="O10" s="322"/>
      <x:c r="P10" s="322"/>
    </x:row>
    <x:row r="11" ht="24" customHeight="1">
      <x:c r="A11" s="1219" t="str">
        <x:v>Кривая окупаемости: накопленный поток, млн руб.</x:v>
      </x:c>
      <x:c r="B11" s="1219" t="str">
        <x:v>Кривая окупаемости: накопленный поток, млн руб.</x:v>
      </x:c>
      <x:c r="C11" s="1219" t="str">
        <x:v>Кривая окупаемости: накопленный поток, млн руб.</x:v>
      </x:c>
      <x:c r="D11" s="1219" t="str">
        <x:v>Кривая окупаемости: накопленный поток, млн руб.</x:v>
      </x:c>
      <x:c r="E11" s="1219" t="str">
        <x:v>Кривая окупаемости: накопленный поток, млн руб.</x:v>
      </x:c>
      <x:c r="F11" s="1219" t="str">
        <x:v>Кривая окупаемости: накопленный поток, млн руб.</x:v>
      </x:c>
      <x:c r="G11" s="1219" t="str">
        <x:v>Кривая окупаемости: накопленный поток, млн руб.</x:v>
      </x:c>
      <x:c r="H11" s="1219" t="str">
        <x:v>Кривая окупаемости: накопленный поток, млн руб.</x:v>
      </x:c>
      <x:c r="I11" s="1219" t="str">
        <x:v>Структура годового эффекта</x:v>
      </x:c>
      <x:c r="J11" s="1219" t="str">
        <x:v>Структура годового эффекта</x:v>
      </x:c>
      <x:c r="K11" s="1219" t="str">
        <x:v>Структура годового эффекта</x:v>
      </x:c>
      <x:c r="L11" s="1219" t="str">
        <x:v>Структура годового эффекта</x:v>
      </x:c>
      <x:c r="M11" s="1219" t="str">
        <x:v>Структура годового эффекта</x:v>
      </x:c>
      <x:c r="N11" s="1219" t="str">
        <x:v>Структура годового эффекта</x:v>
      </x:c>
      <x:c r="O11" s="1219" t="str">
        <x:v>Структура годового эффекта</x:v>
      </x:c>
      <x:c r="P11" s="1219" t="str">
        <x:v>Структура годового эффекта</x:v>
      </x:c>
    </x:row>
    <x:row r="12">
      <x:c r="A12" s="1188" t="str">
        <x:v>Год</x:v>
      </x:c>
      <x:c r="B12" s="1188" t="str">
        <x:v>Без дисконтирования</x:v>
      </x:c>
      <x:c r="C12" s="1188" t="str">
        <x:v>С дисконтированием</x:v>
      </x:c>
      <x:c r="D12" s="322"/>
      <x:c r="E12" s="322"/>
      <x:c r="F12" s="322"/>
      <x:c r="G12" s="322"/>
      <x:c r="H12" s="322"/>
      <x:c r="I12" s="1188" t="str">
        <x:v>Источник</x:v>
      </x:c>
      <x:c r="J12" s="1188" t="str">
        <x:v>млн руб./год</x:v>
      </x:c>
      <x:c r="K12" s="322"/>
      <x:c r="L12" s="322"/>
      <x:c r="M12" s="322"/>
      <x:c r="N12" s="322"/>
      <x:c r="O12" s="322"/>
      <x:c r="P12" s="322"/>
    </x:row>
    <x:row r="13">
      <x:c r="A13" s="322" t="n">
        <x:v>2026</x:v>
      </x:c>
      <x:c r="B13" s="1736" t="n">
        <x:f>'Расчет эффектов'!B37</x:f>
        <x:v>-21.175</x:v>
      </x:c>
      <x:c r="C13" s="1736" t="n">
        <x:f>'Расчет эффектов'!B38</x:f>
        <x:v>-19.70300315518762</x:v>
      </x:c>
      <x:c r="D13" s="322"/>
      <x:c r="E13" s="322"/>
      <x:c r="F13" s="322"/>
      <x:c r="G13" s="322"/>
      <x:c r="H13" s="322"/>
      <x:c r="I13" s="322" t="str">
        <x:v>Экономия ФОТ (UMV)</x:v>
      </x:c>
      <x:c r="J13" s="1736" t="n">
        <x:f>'Исходные данные'!C45</x:f>
        <x:v>4.4</x:v>
      </x:c>
      <x:c r="K13" s="322"/>
      <x:c r="L13" s="322"/>
      <x:c r="M13" s="322"/>
      <x:c r="N13" s="322"/>
      <x:c r="O13" s="322"/>
      <x:c r="P13" s="322"/>
    </x:row>
    <x:row r="14">
      <x:c r="A14" s="322" t="n">
        <x:v>2027</x:v>
      </x:c>
      <x:c r="B14" s="1736" t="n">
        <x:f>'Расчет эффектов'!C37</x:f>
        <x:v>-19.885</x:v>
      </x:c>
      <x:c r="C14" s="1736" t="n">
        <x:f>'Расчет эффектов'!C38</x:f>
        <x:v>-18.66376105006725</x:v>
      </x:c>
      <x:c r="D14" s="322"/>
      <x:c r="E14" s="322"/>
      <x:c r="F14" s="322"/>
      <x:c r="G14" s="322"/>
      <x:c r="H14" s="322"/>
      <x:c r="I14" s="322" t="str">
        <x:v>Снижение риска (DMV)</x:v>
      </x:c>
      <x:c r="J14" s="1736" t="n">
        <x:f>'Исходные данные'!C54</x:f>
        <x:v>1.2000000000000002</x:v>
      </x:c>
      <x:c r="K14" s="322"/>
      <x:c r="L14" s="322"/>
      <x:c r="M14" s="322"/>
      <x:c r="N14" s="322"/>
      <x:c r="O14" s="322"/>
      <x:c r="P14" s="322"/>
    </x:row>
    <x:row r="15">
      <x:c r="A15" s="322" t="n">
        <x:v>2028</x:v>
      </x:c>
      <x:c r="B15" s="1736" t="n">
        <x:f>'Расчет эффектов'!D37</x:f>
        <x:v>-16.915</x:v>
      </x:c>
      <x:c r="C15" s="1736" t="n">
        <x:f>'Расчет эффектов'!D38</x:f>
        <x:v>-16.592182102983458</x:v>
      </x:c>
      <x:c r="D15" s="322"/>
      <x:c r="E15" s="322"/>
      <x:c r="F15" s="322"/>
      <x:c r="G15" s="322"/>
      <x:c r="H15" s="322"/>
      <x:c r="I15" s="322"/>
      <x:c r="J15" s="322"/>
      <x:c r="K15" s="322"/>
      <x:c r="L15" s="322"/>
      <x:c r="M15" s="322"/>
      <x:c r="N15" s="322"/>
      <x:c r="O15" s="322"/>
      <x:c r="P15" s="322"/>
    </x:row>
    <x:row r="16">
      <x:c r="A16" s="322" t="n">
        <x:v>2029</x:v>
      </x:c>
      <x:c r="B16" s="1736" t="n">
        <x:f>'Расчет эффектов'!E37</x:f>
        <x:v>-12.825</x:v>
      </x:c>
      <x:c r="C16" s="1736" t="n">
        <x:f>'Расчет эффектов'!E38</x:f>
        <x:v>-14.12224233194764</x:v>
      </x:c>
      <x:c r="D16" s="322"/>
      <x:c r="E16" s="322"/>
      <x:c r="F16" s="322"/>
      <x:c r="G16" s="322"/>
      <x:c r="H16" s="322"/>
      <x:c r="I16" s="322"/>
      <x:c r="J16" s="322"/>
      <x:c r="K16" s="322"/>
      <x:c r="L16" s="322"/>
      <x:c r="M16" s="322"/>
      <x:c r="N16" s="322"/>
      <x:c r="O16" s="322"/>
      <x:c r="P16" s="322"/>
    </x:row>
    <x:row r="17">
      <x:c r="A17" s="322" t="n">
        <x:v>2030</x:v>
      </x:c>
      <x:c r="B17" s="1736" t="n">
        <x:f>'Расчет эффектов'!F37</x:f>
        <x:v>-8.735</x:v>
      </x:c>
      <x:c r="C17" s="1736" t="n">
        <x:f>'Расчет эффектов'!F38</x:f>
        <x:v>-11.983766339708836</x:v>
      </x:c>
      <x:c r="D17" s="322"/>
      <x:c r="E17" s="322"/>
      <x:c r="F17" s="322"/>
      <x:c r="G17" s="322"/>
      <x:c r="H17" s="322"/>
      <x:c r="I17" s="322"/>
      <x:c r="J17" s="322"/>
      <x:c r="K17" s="322"/>
      <x:c r="L17" s="322"/>
      <x:c r="M17" s="322"/>
      <x:c r="N17" s="322"/>
      <x:c r="O17" s="322"/>
      <x:c r="P17" s="322"/>
    </x:row>
    <x:row r="18">
      <x:c r="A18" s="322" t="n">
        <x:v>2031</x:v>
      </x:c>
      <x:c r="B18" s="1736" t="n">
        <x:f>'Расчет эффектов'!G37</x:f>
        <x:v>-4.644999999999999</x:v>
      </x:c>
      <x:c r="C18" s="1736" t="n">
        <x:f>'Расчет эффектов'!G38</x:f>
        <x:v>-10.132271974134115</x:v>
      </x:c>
      <x:c r="D18" s="322"/>
      <x:c r="E18" s="322"/>
      <x:c r="F18" s="322"/>
      <x:c r="G18" s="322"/>
      <x:c r="H18" s="322"/>
      <x:c r="I18" s="322"/>
      <x:c r="J18" s="322"/>
      <x:c r="K18" s="322"/>
      <x:c r="L18" s="322"/>
      <x:c r="M18" s="322"/>
      <x:c r="N18" s="322"/>
      <x:c r="O18" s="322"/>
      <x:c r="P18" s="322"/>
    </x:row>
    <x:row r="19">
      <x:c r="A19" s="322"/>
      <x:c r="B19" s="322"/>
      <x:c r="C19" s="322"/>
      <x:c r="D19" s="322"/>
      <x:c r="E19" s="322"/>
      <x:c r="F19" s="322"/>
      <x:c r="G19" s="322"/>
      <x:c r="H19" s="322"/>
      <x:c r="I19" s="322"/>
      <x:c r="J19" s="322"/>
      <x:c r="K19" s="322"/>
      <x:c r="L19" s="322"/>
      <x:c r="M19" s="322"/>
      <x:c r="N19" s="322"/>
      <x:c r="O19" s="322"/>
      <x:c r="P19" s="322"/>
    </x:row>
    <x:row r="20">
      <x:c r="A20" s="322"/>
      <x:c r="B20" s="322"/>
      <x:c r="C20" s="322"/>
      <x:c r="D20" s="322"/>
      <x:c r="E20" s="322"/>
      <x:c r="F20" s="322"/>
      <x:c r="G20" s="322"/>
      <x:c r="H20" s="322"/>
      <x:c r="I20" s="322"/>
      <x:c r="J20" s="322"/>
      <x:c r="K20" s="322"/>
      <x:c r="L20" s="322"/>
      <x:c r="M20" s="322"/>
      <x:c r="N20" s="322"/>
      <x:c r="O20" s="322"/>
      <x:c r="P20" s="322"/>
    </x:row>
    <x:row r="21">
      <x:c r="A21" s="322"/>
      <x:c r="B21" s="322"/>
      <x:c r="C21" s="322"/>
      <x:c r="D21" s="322"/>
      <x:c r="E21" s="322"/>
      <x:c r="F21" s="322"/>
      <x:c r="G21" s="322"/>
      <x:c r="H21" s="322"/>
      <x:c r="I21" s="322"/>
      <x:c r="J21" s="322"/>
      <x:c r="K21" s="322"/>
      <x:c r="L21" s="322"/>
      <x:c r="M21" s="322"/>
      <x:c r="N21" s="322"/>
      <x:c r="O21" s="322"/>
      <x:c r="P21" s="322"/>
    </x:row>
    <x:row r="22">
      <x:c r="A22" s="322"/>
      <x:c r="B22" s="322"/>
      <x:c r="C22" s="322"/>
      <x:c r="D22" s="322"/>
      <x:c r="E22" s="322"/>
      <x:c r="F22" s="322"/>
      <x:c r="G22" s="322"/>
      <x:c r="H22" s="322"/>
      <x:c r="I22" s="322"/>
      <x:c r="J22" s="322"/>
      <x:c r="K22" s="322"/>
      <x:c r="L22" s="322"/>
      <x:c r="M22" s="322"/>
      <x:c r="N22" s="322"/>
      <x:c r="O22" s="322"/>
      <x:c r="P22" s="322"/>
    </x:row>
    <x:row r="23">
      <x:c r="A23" s="322"/>
      <x:c r="B23" s="322"/>
      <x:c r="C23" s="322"/>
      <x:c r="D23" s="322"/>
      <x:c r="E23" s="322"/>
      <x:c r="F23" s="322"/>
      <x:c r="G23" s="322"/>
      <x:c r="H23" s="322"/>
      <x:c r="I23" s="322"/>
      <x:c r="J23" s="322"/>
      <x:c r="K23" s="322"/>
      <x:c r="L23" s="322"/>
      <x:c r="M23" s="322"/>
      <x:c r="N23" s="322"/>
      <x:c r="O23" s="322"/>
      <x:c r="P23" s="322"/>
    </x:row>
    <x:row r="24">
      <x:c r="A24" s="322"/>
      <x:c r="B24" s="322"/>
      <x:c r="C24" s="322"/>
      <x:c r="D24" s="322"/>
      <x:c r="E24" s="322"/>
      <x:c r="F24" s="322"/>
      <x:c r="G24" s="322"/>
      <x:c r="H24" s="322"/>
      <x:c r="I24" s="322"/>
      <x:c r="J24" s="322"/>
      <x:c r="K24" s="322"/>
      <x:c r="L24" s="322"/>
      <x:c r="M24" s="322"/>
      <x:c r="N24" s="322"/>
      <x:c r="O24" s="322"/>
      <x:c r="P24" s="322"/>
    </x:row>
    <x:row r="25">
      <x:c r="A25" s="322"/>
      <x:c r="B25" s="322"/>
      <x:c r="C25" s="322"/>
      <x:c r="D25" s="322"/>
      <x:c r="E25" s="322"/>
      <x:c r="F25" s="322"/>
      <x:c r="G25" s="322"/>
      <x:c r="H25" s="322"/>
      <x:c r="I25" s="322"/>
      <x:c r="J25" s="322"/>
      <x:c r="K25" s="322"/>
      <x:c r="L25" s="322"/>
      <x:c r="M25" s="322"/>
      <x:c r="N25" s="322"/>
      <x:c r="O25" s="322"/>
      <x:c r="P25" s="322"/>
    </x:row>
    <x:row r="26">
      <x:c r="A26" s="322"/>
      <x:c r="B26" s="322"/>
      <x:c r="C26" s="322"/>
      <x:c r="D26" s="322"/>
      <x:c r="E26" s="322"/>
      <x:c r="F26" s="322"/>
      <x:c r="G26" s="322"/>
      <x:c r="H26" s="322"/>
      <x:c r="I26" s="322"/>
      <x:c r="J26" s="322"/>
      <x:c r="K26" s="322"/>
      <x:c r="L26" s="322"/>
      <x:c r="M26" s="322"/>
      <x:c r="N26" s="322"/>
      <x:c r="O26" s="322"/>
      <x:c r="P26" s="322"/>
    </x:row>
    <x:row r="27">
      <x:c r="A27" s="322"/>
      <x:c r="B27" s="322"/>
      <x:c r="C27" s="322"/>
      <x:c r="D27" s="322"/>
      <x:c r="E27" s="322"/>
      <x:c r="F27" s="322"/>
      <x:c r="G27" s="322"/>
      <x:c r="H27" s="322"/>
      <x:c r="I27" s="322"/>
      <x:c r="J27" s="322"/>
      <x:c r="K27" s="322"/>
      <x:c r="L27" s="322"/>
      <x:c r="M27" s="322"/>
      <x:c r="N27" s="322"/>
      <x:c r="O27" s="322"/>
      <x:c r="P27" s="322"/>
    </x:row>
    <x:row r="28">
      <x:c r="A28" s="322"/>
      <x:c r="B28" s="322"/>
      <x:c r="C28" s="322"/>
      <x:c r="D28" s="322"/>
      <x:c r="E28" s="322"/>
      <x:c r="F28" s="322"/>
      <x:c r="G28" s="322"/>
      <x:c r="H28" s="322"/>
      <x:c r="I28" s="322"/>
      <x:c r="J28" s="322"/>
      <x:c r="K28" s="322"/>
      <x:c r="L28" s="322"/>
      <x:c r="M28" s="322"/>
      <x:c r="N28" s="322"/>
      <x:c r="O28" s="322"/>
      <x:c r="P28" s="322"/>
    </x:row>
    <x:row r="29">
      <x:c r="A29" s="322"/>
      <x:c r="B29" s="322"/>
      <x:c r="C29" s="322"/>
      <x:c r="D29" s="322"/>
      <x:c r="E29" s="322"/>
      <x:c r="F29" s="322"/>
      <x:c r="G29" s="322"/>
      <x:c r="H29" s="322"/>
      <x:c r="I29" s="322"/>
      <x:c r="J29" s="322"/>
      <x:c r="K29" s="322"/>
      <x:c r="L29" s="322"/>
      <x:c r="M29" s="322"/>
      <x:c r="N29" s="322"/>
      <x:c r="O29" s="322"/>
      <x:c r="P29" s="322"/>
    </x:row>
    <x:row r="30" ht="24" customHeight="1">
      <x:c r="A30" s="322"/>
      <x:c r="B30" s="322"/>
      <x:c r="C30" s="322"/>
      <x:c r="D30" s="322"/>
      <x:c r="E30" s="322"/>
      <x:c r="F30" s="322"/>
      <x:c r="G30" s="322"/>
      <x:c r="H30" s="322"/>
      <x:c r="I30" s="1219" t="str">
        <x:v>Пилот и промышленное тиражирование</x:v>
      </x:c>
      <x:c r="J30" s="1219" t="str">
        <x:v>Пилот и промышленное тиражирование</x:v>
      </x:c>
      <x:c r="K30" s="1219" t="str">
        <x:v>Пилот и промышленное тиражирование</x:v>
      </x:c>
      <x:c r="L30" s="1219" t="str">
        <x:v>Пилот и промышленное тиражирование</x:v>
      </x:c>
      <x:c r="M30" s="1219" t="str">
        <x:v>Пилот и промышленное тиражирование</x:v>
      </x:c>
      <x:c r="N30" s="1219" t="str">
        <x:v>Пилот и промышленное тиражирование</x:v>
      </x:c>
      <x:c r="O30" s="1219" t="str">
        <x:v>Пилот и промышленное тиражирование</x:v>
      </x:c>
      <x:c r="P30" s="1219" t="str">
        <x:v>Пилот и промышленное тиражирование</x:v>
      </x:c>
    </x:row>
    <x:row r="31">
      <x:c r="A31" s="322"/>
      <x:c r="B31" s="322"/>
      <x:c r="C31" s="322"/>
      <x:c r="D31" s="322"/>
      <x:c r="E31" s="322"/>
      <x:c r="F31" s="322"/>
      <x:c r="G31" s="322"/>
      <x:c r="H31" s="322"/>
      <x:c r="I31" s="1188" t="str">
        <x:v>Сценарий</x:v>
      </x:c>
      <x:c r="J31" s="1188" t="str">
        <x:v>CAPEX</x:v>
      </x:c>
      <x:c r="K31" s="1188" t="str">
        <x:v>TCO 5 лет</x:v>
      </x:c>
      <x:c r="L31" s="322"/>
      <x:c r="M31" s="322"/>
      <x:c r="N31" s="322"/>
      <x:c r="O31" s="322"/>
      <x:c r="P31" s="322"/>
    </x:row>
    <x:row r="32">
      <x:c r="A32" s="322"/>
      <x:c r="B32" s="322"/>
      <x:c r="C32" s="322"/>
      <x:c r="D32" s="322"/>
      <x:c r="E32" s="322"/>
      <x:c r="F32" s="322"/>
      <x:c r="G32" s="322"/>
      <x:c r="H32" s="322"/>
      <x:c r="I32" s="322" t="str">
        <x:v>Пилот</x:v>
      </x:c>
      <x:c r="J32" s="1736" t="n">
        <x:f>'TCO (Проект 1)'!K7</x:f>
        <x:v>21.175</x:v>
      </x:c>
      <x:c r="K32" s="1736" t="n">
        <x:f>'TCO (Проект 1)'!M7</x:f>
        <x:v>28.725</x:v>
      </x:c>
      <x:c r="L32" s="322"/>
      <x:c r="M32" s="322"/>
      <x:c r="N32" s="322"/>
      <x:c r="O32" s="322"/>
      <x:c r="P32" s="322"/>
    </x:row>
    <x:row r="33">
      <x:c r="A33" s="322"/>
      <x:c r="B33" s="322"/>
      <x:c r="C33" s="322"/>
      <x:c r="D33" s="322"/>
      <x:c r="E33" s="322"/>
      <x:c r="F33" s="322"/>
      <x:c r="G33" s="322"/>
      <x:c r="H33" s="322"/>
      <x:c r="I33" s="322" t="str">
        <x:v>Тиражирование</x:v>
      </x:c>
      <x:c r="J33" s="1736" t="n">
        <x:f>'TCO (Проект 1)'!K8</x:f>
        <x:v>140</x:v>
      </x:c>
      <x:c r="K33" s="1736" t="n">
        <x:f>'TCO (Проект 1)'!M8</x:f>
        <x:v>200</x:v>
      </x:c>
      <x:c r="L33" s="322"/>
      <x:c r="M33" s="322"/>
      <x:c r="N33" s="322"/>
      <x:c r="O33" s="322"/>
      <x:c r="P33" s="322"/>
    </x:row>
    <x:row r="34">
      <x:c r="A34" s="322"/>
      <x:c r="B34" s="322"/>
      <x:c r="C34" s="322"/>
      <x:c r="D34" s="322"/>
      <x:c r="E34" s="322"/>
      <x:c r="F34" s="322"/>
      <x:c r="G34" s="322"/>
      <x:c r="H34" s="322"/>
      <x:c r="I34" s="322"/>
      <x:c r="J34" s="322"/>
      <x:c r="K34" s="322"/>
      <x:c r="L34" s="322"/>
      <x:c r="M34" s="322"/>
      <x:c r="N34" s="322"/>
      <x:c r="O34" s="322"/>
      <x:c r="P34" s="322"/>
    </x:row>
    <x:row r="35">
      <x:c r="A35" s="322"/>
      <x:c r="B35" s="322"/>
      <x:c r="C35" s="322"/>
      <x:c r="D35" s="322"/>
      <x:c r="E35" s="322"/>
      <x:c r="F35" s="322"/>
      <x:c r="G35" s="322"/>
      <x:c r="H35" s="322"/>
      <x:c r="I35" s="322"/>
      <x:c r="J35" s="322"/>
      <x:c r="K35" s="322"/>
      <x:c r="L35" s="322"/>
      <x:c r="M35" s="322"/>
      <x:c r="N35" s="322"/>
      <x:c r="O35" s="322"/>
      <x:c r="P35" s="322"/>
    </x:row>
    <x:row r="36">
      <x:c r="A36" s="322"/>
      <x:c r="B36" s="322"/>
      <x:c r="C36" s="322"/>
      <x:c r="D36" s="322"/>
      <x:c r="E36" s="322"/>
      <x:c r="F36" s="322"/>
      <x:c r="G36" s="322"/>
      <x:c r="H36" s="322"/>
      <x:c r="I36" s="322"/>
      <x:c r="J36" s="322"/>
      <x:c r="K36" s="322"/>
      <x:c r="L36" s="322"/>
      <x:c r="M36" s="322"/>
      <x:c r="N36" s="322"/>
      <x:c r="O36" s="322"/>
      <x:c r="P36" s="322"/>
    </x:row>
    <x:row r="37">
      <x:c r="A37" s="322"/>
      <x:c r="B37" s="322"/>
      <x:c r="C37" s="322"/>
      <x:c r="D37" s="322"/>
      <x:c r="E37" s="322"/>
      <x:c r="F37" s="322"/>
      <x:c r="G37" s="322"/>
      <x:c r="H37" s="322"/>
      <x:c r="I37" s="322"/>
      <x:c r="J37" s="322"/>
      <x:c r="K37" s="322"/>
      <x:c r="L37" s="322"/>
      <x:c r="M37" s="322"/>
      <x:c r="N37" s="322"/>
      <x:c r="O37" s="322"/>
      <x:c r="P37" s="322"/>
    </x:row>
    <x:row r="38">
      <x:c r="A38" s="322"/>
      <x:c r="B38" s="322"/>
      <x:c r="C38" s="322"/>
      <x:c r="D38" s="322"/>
      <x:c r="E38" s="322"/>
      <x:c r="F38" s="322"/>
      <x:c r="G38" s="322"/>
      <x:c r="H38" s="322"/>
      <x:c r="I38" s="322"/>
      <x:c r="J38" s="322"/>
      <x:c r="K38" s="322"/>
      <x:c r="L38" s="322"/>
      <x:c r="M38" s="322"/>
      <x:c r="N38" s="322"/>
      <x:c r="O38" s="322"/>
      <x:c r="P38" s="322"/>
    </x:row>
    <x:row r="39" ht="24" customHeight="1">
      <x:c r="A39" s="1219" t="str">
        <x:v>Результат инвестиционной оценки</x:v>
      </x:c>
      <x:c r="B39" s="1219" t="str">
        <x:v>Результат инвестиционной оценки</x:v>
      </x:c>
      <x:c r="C39" s="1219" t="str">
        <x:v>Результат инвестиционной оценки</x:v>
      </x:c>
      <x:c r="D39" s="1219" t="str">
        <x:v>Результат инвестиционной оценки</x:v>
      </x:c>
      <x:c r="E39" s="1219" t="str">
        <x:v>Результат инвестиционной оценки</x:v>
      </x:c>
      <x:c r="F39" s="1219" t="str">
        <x:v>Результат инвестиционной оценки</x:v>
      </x:c>
      <x:c r="G39" s="1219" t="str">
        <x:v>Результат инвестиционной оценки</x:v>
      </x:c>
      <x:c r="H39" s="1219" t="str">
        <x:v>Результат инвестиционной оценки</x:v>
      </x:c>
      <x:c r="I39" s="322"/>
      <x:c r="J39" s="322"/>
      <x:c r="K39" s="322"/>
      <x:c r="L39" s="322"/>
      <x:c r="M39" s="322"/>
      <x:c r="N39" s="322"/>
      <x:c r="O39" s="322"/>
      <x:c r="P39" s="322"/>
    </x:row>
    <x:row r="40">
      <x:c r="A40" s="1188" t="str">
        <x:v>Показатель</x:v>
      </x:c>
      <x:c r="B40" s="1188" t="str">
        <x:v>Значение</x:v>
      </x:c>
      <x:c r="C40" s="1188" t="str">
        <x:v>Вывод</x:v>
      </x:c>
      <x:c r="D40" s="322"/>
      <x:c r="E40" s="322"/>
      <x:c r="F40" s="322"/>
      <x:c r="G40" s="322"/>
      <x:c r="H40" s="322"/>
      <x:c r="I40" s="322"/>
      <x:c r="J40" s="322"/>
      <x:c r="K40" s="322"/>
      <x:c r="L40" s="322"/>
      <x:c r="M40" s="322"/>
      <x:c r="N40" s="322"/>
      <x:c r="O40" s="322"/>
      <x:c r="P40" s="322"/>
    </x:row>
    <x:row r="41">
      <x:c r="A41" s="1220" t="str">
        <x:v>Первоначальные инвестиции</x:v>
      </x:c>
      <x:c r="B41" s="1716" t="n">
        <x:f>'Исходные данные'!C27</x:f>
        <x:v>21.175</x:v>
      </x:c>
      <x:c r="C41" s="1220" t="str">
        <x:v>Пилот, не промышленный контур</x:v>
      </x:c>
      <x:c r="D41" s="322"/>
      <x:c r="E41" s="322"/>
      <x:c r="F41" s="322"/>
      <x:c r="G41" s="322"/>
      <x:c r="H41" s="322"/>
      <x:c r="I41" s="322"/>
      <x:c r="J41" s="322"/>
      <x:c r="K41" s="322"/>
      <x:c r="L41" s="322"/>
      <x:c r="M41" s="322"/>
      <x:c r="N41" s="322"/>
      <x:c r="O41" s="322"/>
      <x:c r="P41" s="322"/>
    </x:row>
    <x:row r="42">
      <x:c r="A42" s="1222" t="str">
        <x:v>TCO за 5 лет</x:v>
      </x:c>
      <x:c r="B42" s="1723" t="n">
        <x:f>'TCO (Проект 1)'!H21</x:f>
        <x:v>28.72500000000001</x:v>
      </x:c>
      <x:c r="C42" s="1222" t="str">
        <x:v>Включает сервисные расходы</x:v>
      </x:c>
      <x:c r="D42" s="322"/>
      <x:c r="E42" s="322"/>
      <x:c r="F42" s="322"/>
      <x:c r="G42" s="322"/>
      <x:c r="H42" s="322"/>
      <x:c r="I42" s="322"/>
      <x:c r="J42" s="322"/>
      <x:c r="K42" s="322"/>
      <x:c r="L42" s="322"/>
      <x:c r="M42" s="322"/>
      <x:c r="N42" s="322"/>
      <x:c r="O42" s="322"/>
      <x:c r="P42" s="322"/>
    </x:row>
    <x:row r="43">
      <x:c r="A43" s="1222" t="str">
        <x:v>PI (прямой)</x:v>
      </x:c>
      <x:c r="B43" s="1737" t="n">
        <x:f>'Резюме (Проекта 1)'!B20</x:f>
        <x:v>0</x:v>
      </x:c>
      <x:c r="C43" s="1222" t="str">
        <x:v>Прямой эффект не подтвержден</x:v>
      </x:c>
      <x:c r="D43" s="322"/>
      <x:c r="E43" s="322"/>
      <x:c r="F43" s="322"/>
      <x:c r="G43" s="322"/>
      <x:c r="H43" s="322"/>
      <x:c r="I43" s="322"/>
      <x:c r="J43" s="322"/>
      <x:c r="K43" s="322"/>
      <x:c r="L43" s="322"/>
      <x:c r="M43" s="322"/>
      <x:c r="N43" s="322"/>
      <x:c r="O43" s="322"/>
      <x:c r="P43" s="322"/>
    </x:row>
    <x:row r="44">
      <x:c r="A44" s="1222" t="str">
        <x:v>J (UMV)</x:v>
      </x:c>
      <x:c r="B44" s="1737" t="n">
        <x:f>'Резюме (Проекта 1)'!B22</x:f>
        <x:v>0.4588737682148587</x:v>
      </x:c>
      <x:c r="C44" s="1222" t="str">
        <x:v>Ниже единицы</x:v>
      </x:c>
      <x:c r="D44" s="322"/>
      <x:c r="E44" s="322"/>
      <x:c r="F44" s="322"/>
      <x:c r="G44" s="322"/>
      <x:c r="H44" s="322"/>
      <x:c r="I44" s="322"/>
      <x:c r="J44" s="322"/>
      <x:c r="K44" s="322"/>
      <x:c r="L44" s="322"/>
      <x:c r="M44" s="322"/>
      <x:c r="N44" s="322"/>
      <x:c r="O44" s="322"/>
      <x:c r="P44" s="322"/>
    </x:row>
    <x:row r="45">
      <x:c r="A45" s="1222" t="str">
        <x:v>J (DMV)</x:v>
      </x:c>
      <x:c r="B45" s="1737" t="n">
        <x:f>'Резюме (Проекта 1)'!B24</x:f>
        <x:v>0.5840211595461837</x:v>
      </x:c>
      <x:c r="C45" s="1222" t="str">
        <x:v>Ниже единицы</x:v>
      </x:c>
      <x:c r="D45" s="322"/>
      <x:c r="E45" s="322"/>
      <x:c r="F45" s="322"/>
      <x:c r="G45" s="322"/>
      <x:c r="H45" s="322"/>
      <x:c r="I45" s="322"/>
      <x:c r="J45" s="322"/>
      <x:c r="K45" s="322"/>
      <x:c r="L45" s="322"/>
      <x:c r="M45" s="322"/>
      <x:c r="N45" s="322"/>
      <x:c r="O45" s="322"/>
      <x:c r="P45" s="322"/>
    </x:row>
    <x:row r="46">
      <x:c r="A46" s="1222" t="str">
        <x:v>Простая окупаемость DMV</x:v>
      </x:c>
      <x:c r="B46" s="1222" t="str">
        <x:v>&gt;5 лет</x:v>
      </x:c>
      <x:c r="C46" s="1222" t="str">
        <x:v>За пределами горизонта</x:v>
      </x:c>
      <x:c r="D46" s="322"/>
      <x:c r="E46" s="322"/>
      <x:c r="F46" s="322"/>
      <x:c r="G46" s="322"/>
      <x:c r="H46" s="322"/>
      <x:c r="I46" s="322"/>
      <x:c r="J46" s="322"/>
      <x:c r="K46" s="322"/>
      <x:c r="L46" s="322"/>
      <x:c r="M46" s="322"/>
      <x:c r="N46" s="322"/>
      <x:c r="O46" s="322"/>
      <x:c r="P46" s="322"/>
    </x:row>
    <x:row r="47">
      <x:c r="A47" s="1222" t="str">
        <x:v>Дисконтированная окупаемость</x:v>
      </x:c>
      <x:c r="B47" s="1222" t="str">
        <x:v>&gt;5 лет</x:v>
      </x:c>
      <x:c r="C47" s="1222" t="str">
        <x:v>За пределами горизонта</x:v>
      </x:c>
      <x:c r="D47" s="322"/>
      <x:c r="E47" s="322"/>
      <x:c r="F47" s="322"/>
      <x:c r="G47" s="322"/>
      <x:c r="H47" s="322"/>
      <x:c r="I47" s="322"/>
      <x:c r="J47" s="322"/>
      <x:c r="K47" s="322"/>
      <x:c r="L47" s="322"/>
      <x:c r="M47" s="322"/>
      <x:c r="N47" s="322"/>
      <x:c r="O47" s="322"/>
      <x:c r="P47" s="322"/>
    </x:row>
    <x:row r="48">
      <x:c r="A48" s="1222" t="str">
        <x:v>IRR</x:v>
      </x:c>
      <x:c r="B48" s="1222" t="str">
        <x:v>нет в горизонте</x:v>
      </x:c>
      <x:c r="C48" s="1222" t="str">
        <x:v>Совокупный поток за 5 лет отрицательный</x:v>
      </x:c>
      <x:c r="D48" s="322"/>
      <x:c r="E48" s="322"/>
      <x:c r="F48" s="322"/>
      <x:c r="G48" s="322"/>
      <x:c r="H48" s="322"/>
      <x:c r="I48" s="322"/>
      <x:c r="J48" s="322"/>
      <x:c r="K48" s="322"/>
      <x:c r="L48" s="322"/>
      <x:c r="M48" s="322"/>
      <x:c r="N48" s="322"/>
      <x:c r="O48" s="322"/>
      <x:c r="P48" s="322"/>
    </x:row>
    <x:row r="49">
      <x:c r="A49" s="1710" t="str">
        <x:v>Решение</x:v>
      </x:c>
      <x:c r="B49" s="1710" t="str">
        <x:v>требует подтверждения</x:v>
      </x:c>
      <x:c r="C49" s="1710" t="str">
        <x:v>Нужны прямые эффекты или снижение TCO</x:v>
      </x:c>
      <x:c r="D49" s="322"/>
      <x:c r="E49" s="322"/>
      <x:c r="F49" s="322"/>
      <x:c r="G49" s="322"/>
      <x:c r="H49" s="322"/>
      <x:c r="I49" s="322"/>
      <x:c r="J49" s="322"/>
      <x:c r="K49" s="322"/>
      <x:c r="L49" s="322"/>
      <x:c r="M49" s="322"/>
      <x:c r="N49" s="322"/>
      <x:c r="O49" s="322"/>
      <x:c r="P49" s="322"/>
    </x:row>
    <x:row r="50">
      <x:c r="A50" s="322"/>
      <x:c r="B50" s="322"/>
      <x:c r="C50" s="322"/>
      <x:c r="D50" s="322"/>
      <x:c r="E50" s="322"/>
      <x:c r="F50" s="322"/>
      <x:c r="G50" s="322"/>
      <x:c r="H50" s="322"/>
      <x:c r="I50" s="322"/>
      <x:c r="J50" s="322"/>
      <x:c r="K50" s="322"/>
      <x:c r="L50" s="322"/>
      <x:c r="M50" s="322"/>
      <x:c r="N50" s="322"/>
      <x:c r="O50" s="322"/>
      <x:c r="P50" s="322"/>
    </x:row>
    <x:row r="51">
      <x:c r="A51" s="322"/>
      <x:c r="B51" s="322"/>
      <x:c r="C51" s="322"/>
      <x:c r="D51" s="322"/>
      <x:c r="E51" s="322"/>
      <x:c r="F51" s="322"/>
      <x:c r="G51" s="322"/>
      <x:c r="H51" s="322"/>
      <x:c r="I51" s="322"/>
      <x:c r="J51" s="322"/>
      <x:c r="K51" s="322"/>
      <x:c r="L51" s="322"/>
      <x:c r="M51" s="322"/>
      <x:c r="N51" s="322"/>
      <x:c r="O51" s="322"/>
      <x:c r="P51" s="322"/>
    </x:row>
    <x:row r="52">
      <x:c r="A52" s="1662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B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C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D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E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F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G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H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I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J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K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L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M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N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O52" s="1663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P52" s="1664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</x:row>
    <x:row r="53">
      <x:c r="A53" s="1665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B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C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D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E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F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G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H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I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J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K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L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M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N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O53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P53" s="1667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</x:row>
    <x:row r="54">
      <x:c r="A54" s="1665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B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C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D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E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F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G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H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I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J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K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L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M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N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O54" s="1666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P54" s="1667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</x:row>
    <x:row r="55">
      <x:c r="A55" s="1668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B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C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D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E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F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G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H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I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J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K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L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M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N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O55" s="1669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  <x:c r="P55" s="1670" t="str">
        <x:v>Ключевой вывод: модель больше не показывает окупаемость менее года. В расчет включена величина 4,4 млн руб./год из кейса, а 21,024 млн руб./год оставлена только как теоретическая стоимость высвобожденного ресурса. Риск-эффект выделен в DMV и зависит от сценарных допущений.</x:v>
      </x:c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</x:sheetData>
  <x:mergeCells>
    <x:mergeCell ref="A1:P2"/>
    <x:mergeCell ref="A3:N3"/>
    <x:mergeCell ref="A5:D5"/>
    <x:mergeCell ref="A6:D8"/>
    <x:mergeCell ref="E5:H5"/>
    <x:mergeCell ref="E6:H8"/>
    <x:mergeCell ref="I5:L5"/>
    <x:mergeCell ref="I6:L8"/>
    <x:mergeCell ref="M5:P5"/>
    <x:mergeCell ref="M6:P8"/>
    <x:mergeCell ref="A11:H11"/>
    <x:mergeCell ref="I11:P11"/>
    <x:mergeCell ref="I30:P30"/>
    <x:mergeCell ref="A39:H39"/>
    <x:mergeCell ref="A52:P55"/>
  </x:mergeCells>
  <x:pageMargins left="0.7" right="0.7" top="0.75" bottom="0.75" header="0.3" footer="0.3"/>
  <x:drawing xmlns:r="http://schemas.openxmlformats.org/officeDocument/2006/relationships" r:id="Rb9ee2e79a6c1498f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42" hidden="0" customWidth="1"/>
    <x:col min="4" max="4" width="20" hidden="0" customWidth="1"/>
    <x:col min="5" max="5" width="15" hidden="0" customWidth="1"/>
    <x:col min="6" max="6" width="48" hidden="0" customWidth="1"/>
    <x:col min="7" max="7" width="38" hidden="0" customWidth="1"/>
    <x:col min="8" max="8" width="20" hidden="0" customWidth="1"/>
  </x:cols>
  <x:sheetData>
    <x:row r="1" ht="34" customHeight="1">
      <x:c r="A1" s="1174" t="str">
        <x:v>ПРОВЕРКИ МОДЕЛИ И ИСТОЧНИКИ</x:v>
      </x:c>
      <x:c r="B1" s="1174" t="str">
        <x:v>ПРОВЕРКИ МОДЕЛИ И ИСТОЧНИКИ</x:v>
      </x:c>
      <x:c r="C1" s="1174" t="str">
        <x:v>ПРОВЕРКИ МОДЕЛИ И ИСТОЧНИКИ</x:v>
      </x:c>
      <x:c r="D1" s="1174" t="str">
        <x:v>ПРОВЕРКИ МОДЕЛИ И ИСТОЧНИКИ</x:v>
      </x:c>
      <x:c r="E1" s="1174" t="str">
        <x:v>ПРОВЕРКИ МОДЕЛИ И ИСТОЧНИКИ</x:v>
      </x:c>
      <x:c r="F1" s="1174" t="str">
        <x:v>ПРОВЕРКИ МОДЕЛИ И ИСТОЧНИКИ</x:v>
      </x:c>
      <x:c r="G1" s="1174" t="str">
        <x:v>ПРОВЕРКИ МОДЕЛИ И ИСТОЧНИКИ</x:v>
      </x:c>
      <x:c r="H1" s="1174" t="str">
        <x:v>ПРОВЕРКИ МОДЕЛИ И ИСТОЧНИКИ</x:v>
      </x:c>
    </x:row>
    <x:row r="2" ht="34" customHeight="1">
      <x:c r="A2" s="1174" t="str">
        <x:v>ПРОВЕРКИ МОДЕЛИ И ИСТОЧНИКИ</x:v>
      </x:c>
      <x:c r="B2" s="1174" t="str">
        <x:v>ПРОВЕРКИ МОДЕЛИ И ИСТОЧНИКИ</x:v>
      </x:c>
      <x:c r="C2" s="1174" t="str">
        <x:v>ПРОВЕРКИ МОДЕЛИ И ИСТОЧНИКИ</x:v>
      </x:c>
      <x:c r="D2" s="1174" t="str">
        <x:v>ПРОВЕРКИ МОДЕЛИ И ИСТОЧНИКИ</x:v>
      </x:c>
      <x:c r="E2" s="1174" t="str">
        <x:v>ПРОВЕРКИ МОДЕЛИ И ИСТОЧНИКИ</x:v>
      </x:c>
      <x:c r="F2" s="1174" t="str">
        <x:v>ПРОВЕРКИ МОДЕЛИ И ИСТОЧНИКИ</x:v>
      </x:c>
      <x:c r="G2" s="1174" t="str">
        <x:v>ПРОВЕРКИ МОДЕЛИ И ИСТОЧНИКИ</x:v>
      </x:c>
      <x:c r="H2" s="1174" t="str">
        <x:v>ПРОВЕРКИ МОДЕЛИ И ИСТОЧНИКИ</x:v>
      </x:c>
    </x:row>
    <x:row r="3" ht="28" customHeight="1">
      <x:c r="A3" s="1178" t="str">
        <x:v>Контроль формул, классификации эффектов и исходных условий без ссылок на программный код.</x:v>
      </x:c>
      <x:c r="B3" s="1178" t="str">
        <x:v>Контроль формул, классификации эффектов и исходных условий без ссылок на программный код.</x:v>
      </x:c>
      <x:c r="C3" s="1178" t="str">
        <x:v>Контроль формул, классификации эффектов и исходных условий без ссылок на программный код.</x:v>
      </x:c>
      <x:c r="D3" s="1178" t="str">
        <x:v>Контроль формул, классификации эффектов и исходных условий без ссылок на программный код.</x:v>
      </x:c>
      <x:c r="E3" s="1178" t="str">
        <x:v>Контроль формул, классификации эффектов и исходных условий без ссылок на программный код.</x:v>
      </x:c>
      <x:c r="F3" s="1178" t="str">
        <x:v>Контроль формул, классификации эффектов и исходных условий без ссылок на программный код.</x:v>
      </x:c>
      <x:c r="G3" s="1178" t="str">
        <x:v>Контроль формул, классификации эффектов и исходных условий без ссылок на программный код.</x:v>
      </x:c>
      <x:c r="H3" s="1178" t="str">
        <x:v>Контроль формул, классификации эффектов и исходных условий без ссылок на программный код.</x:v>
      </x:c>
      <x:c r="I3" s="1178" t="str">
        <x:v>Контроль формул, классификации эффектов и исходных условий без ссылок на программный код.</x:v>
      </x:c>
      <x:c r="J3" s="1178" t="str">
        <x:v>Контроль формул, классификации эффектов и исходных условий без ссылок на программный код.</x:v>
      </x:c>
      <x:c r="K3" s="1178" t="str">
        <x:v>Контроль формул, классификации эффектов и исходных условий без ссылок на программный код.</x:v>
      </x:c>
      <x:c r="L3" s="1178" t="str">
        <x:v>Контроль формул, классификации эффектов и исходных условий без ссылок на программный код.</x:v>
      </x:c>
      <x:c r="M3" s="1178" t="str">
        <x:v>Контроль формул, классификации эффектов и исходных условий без ссылок на программный код.</x:v>
      </x:c>
      <x:c r="N3" s="1178" t="str">
        <x:v>Контроль формул, классификации эффектов и исходных условий без ссылок на программный код.</x:v>
      </x:c>
    </x:row>
    <x:row r="4">
      <x:c r="A4" s="322"/>
      <x:c r="B4" s="322"/>
      <x:c r="C4" s="322"/>
      <x:c r="D4" s="322"/>
      <x:c r="E4" s="322"/>
      <x:c r="F4" s="322"/>
      <x:c r="G4" s="322"/>
      <x:c r="H4" s="322"/>
    </x:row>
    <x:row r="5" ht="24" customHeight="1">
      <x:c r="A5" s="1219" t="str">
        <x:v>1. Контрольные проверки</x:v>
      </x:c>
      <x:c r="B5" s="1219" t="str">
        <x:v>1. Контрольные проверки</x:v>
      </x:c>
      <x:c r="C5" s="1219" t="str">
        <x:v>1. Контрольные проверки</x:v>
      </x:c>
      <x:c r="D5" s="1219" t="str">
        <x:v>1. Контрольные проверки</x:v>
      </x:c>
      <x:c r="E5" s="1219" t="str">
        <x:v>1. Контрольные проверки</x:v>
      </x:c>
      <x:c r="F5" s="1219" t="str">
        <x:v>1. Контрольные проверки</x:v>
      </x:c>
      <x:c r="G5" s="1219" t="str">
        <x:v>1. Контрольные проверки</x:v>
      </x:c>
      <x:c r="H5" s="1219" t="str">
        <x:v>1. Контрольные проверки</x:v>
      </x:c>
    </x:row>
    <x:row r="6">
      <x:c r="A6" s="1188" t="str">
        <x:v>№</x:v>
      </x:c>
      <x:c r="B6" s="1188" t="str">
        <x:v>Проверка</x:v>
      </x:c>
      <x:c r="C6" s="1188" t="str">
        <x:v>Факт</x:v>
      </x:c>
      <x:c r="D6" s="1188" t="str">
        <x:v>Ожидается</x:v>
      </x:c>
      <x:c r="E6" s="1188" t="str">
        <x:v>Отклонение</x:v>
      </x:c>
      <x:c r="F6" s="1188" t="str">
        <x:v>Допуск</x:v>
      </x:c>
      <x:c r="G6" s="1188" t="str">
        <x:v>Статус</x:v>
      </x:c>
      <x:c r="H6" s="1188" t="str">
        <x:v>Комментарий</x:v>
      </x:c>
    </x:row>
    <x:row r="7">
      <x:c r="A7" s="1220" t="n">
        <x:v>1</x:v>
      </x:c>
      <x:c r="B7" s="1220" t="str">
        <x:v>Ставка дисконтирования = 14% + 1,5 п.п.</x:v>
      </x:c>
      <x:c r="C7" s="1738" t="n">
        <x:f>'Исходные данные'!C9</x:f>
        <x:v>0.15500000000000003</x:v>
      </x:c>
      <x:c r="D7" s="1245" t="n">
        <x:f>15.5%</x:f>
        <x:v>0.155</x:v>
      </x:c>
      <x:c r="E7" s="1245" t="n">
        <x:f>C7-D7</x:f>
        <x:v>2.7755575615628914e-17</x:v>
      </x:c>
      <x:c r="F7" s="1245" t="n">
        <x:f>0.000001</x:f>
        <x:v>0.000001</x:v>
      </x:c>
      <x:c r="G7" s="1220" t="str">
        <x:f>IF(ABS(E7)&lt;=F7,"OK","ОШИБКА")</x:f>
        <x:v>OK</x:v>
      </x:c>
      <x:c r="H7" s="1220" t="str">
        <x:v>Ставка пользователя и ЦБ</x:v>
      </x:c>
    </x:row>
    <x:row r="8">
      <x:c r="A8" s="1222" t="n">
        <x:v>2</x:v>
      </x:c>
      <x:c r="B8" s="1222" t="str">
        <x:v>Годовой эффект ФОТ = 1,1 × 4</x:v>
      </x:c>
      <x:c r="C8" s="1723" t="n">
        <x:f>'Исходные данные'!C43</x:f>
        <x:v>4.4</x:v>
      </x:c>
      <x:c r="D8" s="1227" t="n">
        <x:f>4.4</x:f>
        <x:v>4.4</x:v>
      </x:c>
      <x:c r="E8" s="1227" t="n">
        <x:f>C8-D8</x:f>
        <x:v>0</x:v>
      </x:c>
      <x:c r="F8" s="1227" t="n">
        <x:f>0.000001</x:f>
        <x:v>0.000001</x:v>
      </x:c>
      <x:c r="G8" s="1222" t="str">
        <x:f>IF(ABS(E8)&lt;=F8,"OK","ОШИБКА")</x:f>
        <x:v>OK</x:v>
      </x:c>
      <x:c r="H8" s="1222" t="str">
        <x:v>Прямая сверка с кейсом</x:v>
      </x:c>
    </x:row>
    <x:row r="9">
      <x:c r="A9" s="1222" t="n">
        <x:v>3</x:v>
      </x:c>
      <x:c r="B9" s="1222" t="str">
        <x:v>Признанный эффект не выше потенциала ресурса</x:v>
      </x:c>
      <x:c r="C9" s="1723" t="n">
        <x:f>'Исходные данные'!C45</x:f>
        <x:v>4.4</x:v>
      </x:c>
      <x:c r="D9" s="1723" t="n">
        <x:f>'Исходные данные'!C41</x:f>
        <x:v>21.023999999999997</x:v>
      </x:c>
      <x:c r="E9" s="1227" t="n">
        <x:f>MAX(0,C9-D9)</x:f>
        <x:v>0</x:v>
      </x:c>
      <x:c r="F9" s="1227" t="n">
        <x:f>0.000001</x:f>
        <x:v>0.000001</x:v>
      </x:c>
      <x:c r="G9" s="1222" t="str">
        <x:f>IF(ABS(E9)&lt;=F9,"OK","ОШИБКА")</x:f>
        <x:v>OK</x:v>
      </x:c>
      <x:c r="H9" s="1222" t="str">
        <x:v>Исключено завышение 21,024 млн</x:v>
      </x:c>
    </x:row>
    <x:row r="10">
      <x:c r="A10" s="1222" t="n">
        <x:v>4</x:v>
      </x:c>
      <x:c r="B10" s="1222" t="str">
        <x:v>Горизонт эксплуатации = 5 лет</x:v>
      </x:c>
      <x:c r="C10" s="1722" t="n">
        <x:f>'Исходные данные'!C10</x:f>
        <x:v>5</x:v>
      </x:c>
      <x:c r="D10" s="1222" t="n">
        <x:f>5</x:f>
        <x:v>5</x:v>
      </x:c>
      <x:c r="E10" s="1222" t="n">
        <x:f>C10-D10</x:f>
        <x:v>0</x:v>
      </x:c>
      <x:c r="F10" s="1222" t="n">
        <x:f>0</x:f>
        <x:v>0</x:v>
      </x:c>
      <x:c r="G10" s="1222" t="str">
        <x:f>IF(ABS(E10)&lt;=F10,"OK","ОШИБКА")</x:f>
        <x:v>OK</x:v>
      </x:c>
      <x:c r="H10" s="1222" t="str">
        <x:v>Ограничение лекции</x:v>
      </x:c>
    </x:row>
    <x:row r="11">
      <x:c r="A11" s="1222" t="n">
        <x:v>5</x:v>
      </x:c>
      <x:c r="B11" s="1222" t="str">
        <x:v>Сумма CAPEX равна первоначальным инвестициям</x:v>
      </x:c>
      <x:c r="C11" s="1723" t="n">
        <x:f>'TCO (Проект 1)'!B13</x:f>
        <x:v>21.175</x:v>
      </x:c>
      <x:c r="D11" s="1723" t="n">
        <x:f>'Исходные данные'!C27</x:f>
        <x:v>21.175</x:v>
      </x:c>
      <x:c r="E11" s="1227" t="n">
        <x:f>C11-D11</x:f>
        <x:v>0</x:v>
      </x:c>
      <x:c r="F11" s="1227" t="n">
        <x:f>0.000001</x:f>
        <x:v>0.000001</x:v>
      </x:c>
      <x:c r="G11" s="1222" t="str">
        <x:f>IF(ABS(E11)&lt;=F11,"OK","ОШИБКА")</x:f>
        <x:v>OK</x:v>
      </x:c>
      <x:c r="H11" s="1222" t="str">
        <x:v>Сверка бюджета</x:v>
      </x:c>
    </x:row>
    <x:row r="12">
      <x:c r="A12" s="1222" t="n">
        <x:v>6</x:v>
      </x:c>
      <x:c r="B12" s="1222" t="str">
        <x:v>TCO = CAPEX + 5 × OPEX</x:v>
      </x:c>
      <x:c r="C12" s="1723" t="n">
        <x:f>'TCO (Проект 1)'!H21</x:f>
        <x:v>28.72500000000001</x:v>
      </x:c>
      <x:c r="D12" s="1723" t="n">
        <x:f>'Исходные данные'!C27+'Исходные данные'!C32*'Исходные данные'!C10</x:f>
        <x:v>28.725</x:v>
      </x:c>
      <x:c r="E12" s="1227" t="n">
        <x:f>C12-D12</x:f>
        <x:v>7.105427357601002e-15</x:v>
      </x:c>
      <x:c r="F12" s="1227" t="n">
        <x:f>0.000001</x:f>
        <x:v>0.000001</x:v>
      </x:c>
      <x:c r="G12" s="1222" t="str">
        <x:f>IF(ABS(E12)&lt;=F12,"OK","ОШИБКА")</x:f>
        <x:v>OK</x:v>
      </x:c>
      <x:c r="H12" s="1222" t="str">
        <x:v>Сверка совокупной стоимости владения</x:v>
      </x:c>
    </x:row>
    <x:row r="13">
      <x:c r="A13" s="1222" t="n">
        <x:v>7</x:v>
      </x:c>
      <x:c r="B13" s="1222" t="str">
        <x:v>Накопленный DCF совпадает с суммой DCF</x:v>
      </x:c>
      <x:c r="C13" s="1723" t="n">
        <x:f>'Расчет эффектов'!G38</x:f>
        <x:v>-10.132271974134115</x:v>
      </x:c>
      <x:c r="D13" s="1723" t="n">
        <x:f>SUM('Расчет эффектов'!B36:G36)</x:f>
        <x:v>-10.132271974134115</x:v>
      </x:c>
      <x:c r="E13" s="1227" t="n">
        <x:f>C13-D13</x:f>
        <x:v>0</x:v>
      </x:c>
      <x:c r="F13" s="1227" t="n">
        <x:f>0.000001</x:f>
        <x:v>0.000001</x:v>
      </x:c>
      <x:c r="G13" s="1222" t="str">
        <x:f>IF(ABS(E13)&lt;=F13,"OK","ОШИБКА")</x:f>
        <x:v>OK</x:v>
      </x:c>
      <x:c r="H13" s="1222" t="str">
        <x:v>Сверка CDD</x:v>
      </x:c>
    </x:row>
    <x:row r="14">
      <x:c r="A14" s="1222" t="n">
        <x:v>8</x:v>
      </x:c>
      <x:c r="B14" s="1222" t="str">
        <x:v>Прямой эффект не подменен UMV/DMV</x:v>
      </x:c>
      <x:c r="C14" s="1222" t="n">
        <x:v>0</x:v>
      </x:c>
      <x:c r="D14" s="1222" t="n">
        <x:v>0</x:v>
      </x:c>
      <x:c r="E14" s="1222" t="n">
        <x:v>0</x:v>
      </x:c>
      <x:c r="F14" s="1222" t="n">
        <x:v>0</x:v>
      </x:c>
      <x:c r="G14" s="1222" t="str">
        <x:f>IF(ABS(E14)&lt;=F14,"OK","ОШИБКА")</x:f>
        <x:v>OK</x:v>
      </x:c>
      <x:c r="H14" s="1222" t="str">
        <x:v>NPV, UMV и DMV разделены</x:v>
      </x:c>
    </x:row>
    <x:row r="15">
      <x:c r="A15" s="322"/>
      <x:c r="B15" s="322"/>
      <x:c r="C15" s="322"/>
      <x:c r="D15" s="322"/>
      <x:c r="E15" s="322"/>
      <x:c r="F15" s="322"/>
      <x:c r="G15" s="322"/>
      <x:c r="H15" s="322"/>
    </x:row>
    <x:row r="16">
      <x:c r="A16" s="1485" t="str">
        <x:f>"СТАТУС МОДЕЛИ: "&amp;IF(COUNTIF(G7:G14,"ОШИБКА")=0,"PASS","FAIL")</x:f>
        <x:v>СТАТУС МОДЕЛИ: PASS</x:v>
      </x:c>
      <x:c r="B16" s="1485"/>
      <x:c r="C16" s="1485"/>
      <x:c r="D16" s="1485"/>
      <x:c r="E16" s="1485"/>
      <x:c r="F16" s="1485"/>
      <x:c r="G16" s="1485"/>
      <x:c r="H16" s="1485"/>
    </x:row>
    <x:row r="17">
      <x:c r="A17" s="322"/>
      <x:c r="B17" s="322"/>
      <x:c r="C17" s="322"/>
      <x:c r="D17" s="322"/>
      <x:c r="E17" s="322"/>
      <x:c r="F17" s="322"/>
      <x:c r="G17" s="322"/>
      <x:c r="H17" s="322"/>
    </x:row>
    <x:row r="18">
      <x:c r="A18" s="322"/>
      <x:c r="B18" s="322"/>
      <x:c r="C18" s="322"/>
      <x:c r="D18" s="322"/>
      <x:c r="E18" s="322"/>
      <x:c r="F18" s="322"/>
      <x:c r="G18" s="322"/>
      <x:c r="H18" s="322"/>
    </x:row>
    <x:row r="19" ht="24" customHeight="1">
      <x:c r="A19" s="1219" t="str">
        <x:v>2. Источники и границы применимости</x:v>
      </x:c>
      <x:c r="B19" s="1219" t="str">
        <x:v>2. Источники и границы применимости</x:v>
      </x:c>
      <x:c r="C19" s="1219" t="str">
        <x:v>2. Источники и границы применимости</x:v>
      </x:c>
      <x:c r="D19" s="1219" t="str">
        <x:v>2. Источники и границы применимости</x:v>
      </x:c>
      <x:c r="E19" s="1219" t="str">
        <x:v>2. Источники и границы применимости</x:v>
      </x:c>
      <x:c r="F19" s="1219" t="str">
        <x:v>2. Источники и границы применимости</x:v>
      </x:c>
      <x:c r="G19" s="1219" t="str">
        <x:v>2. Источники и границы применимости</x:v>
      </x:c>
      <x:c r="H19" s="1219" t="str">
        <x:v>2. Источники и границы применимости</x:v>
      </x:c>
    </x:row>
    <x:row r="20">
      <x:c r="A20" s="1188" t="str">
        <x:v>Источник</x:v>
      </x:c>
      <x:c r="B20" s="1188" t="str">
        <x:v>Раздел / слайд</x:v>
      </x:c>
      <x:c r="C20" s="1188" t="str">
        <x:v>Использовано</x:v>
      </x:c>
      <x:c r="D20" s="1188" t="str">
        <x:v>Тип</x:v>
      </x:c>
      <x:c r="E20" s="1188" t="str">
        <x:v>Дата</x:v>
      </x:c>
      <x:c r="F20" s="1188" t="str">
        <x:v>Ссылка</x:v>
      </x:c>
      <x:c r="G20" s="1188" t="str">
        <x:v>Ограничение</x:v>
      </x:c>
      <x:c r="H20" s="1188" t="str">
        <x:v>Статус</x:v>
      </x:c>
    </x:row>
    <x:row r="21" ht="54" customHeight="1">
      <x:c r="A21" s="1220" t="str">
        <x:v>Кейс IT Camp — студенты</x:v>
      </x:c>
      <x:c r="B21" s="1220" t="str">
        <x:v>стр. 3</x:v>
      </x:c>
      <x:c r="C21" s="1220" t="str">
        <x:v>48 ч/день; 60%; 1,1 млн/квартал; 3,2 млн/инцидент; 87 пользователей; 4 филиала</x:v>
      </x:c>
      <x:c r="D21" s="1220" t="str">
        <x:v>Исходные условия</x:v>
      </x:c>
      <x:c r="E21" s="1220" t="str">
        <x:v>2026</x:v>
      </x:c>
      <x:c r="F21" s="1220" t="str">
        <x:v>в составе материалов проекта</x:v>
      </x:c>
      <x:c r="G21" s="1220" t="str">
        <x:v>Не задан общий бюджет и частота инцидентов</x:v>
      </x:c>
      <x:c r="H21" s="1220" t="str">
        <x:v>Применено</x:v>
      </x:c>
    </x:row>
    <x:row r="22" ht="54" customHeight="1">
      <x:c r="A22" s="1222" t="str">
        <x:v>Лекция по экономике IT Camp</x:v>
      </x:c>
      <x:c r="B22" s="1222" t="str">
        <x:v>слайды 20–32</x:v>
      </x:c>
      <x:c r="C22" s="1222" t="str">
        <x:v>5 лет; середина периода; NPV/UMV/DMV; TCO; чувствительность</x:v>
      </x:c>
      <x:c r="D22" s="1222" t="str">
        <x:v>Методика</x:v>
      </x:c>
      <x:c r="E22" s="1222" t="str">
        <x:v>05.08.2026</x:v>
      </x:c>
      <x:c r="F22" s="1222" t="str">
        <x:v>в составе материалов проекта</x:v>
      </x:c>
      <x:c r="G22" s="1222" t="str">
        <x:v>Примеры лекции не являются фактами кейса</x:v>
      </x:c>
      <x:c r="H22" s="1222" t="str">
        <x:v>Применено</x:v>
      </x:c>
    </x:row>
    <x:row r="23" ht="54" customHeight="1">
      <x:c r="A23" s="1222" t="str">
        <x:v>Условия расчета заказчика</x:v>
      </x:c>
      <x:c r="B23" s="1222" t="str">
        <x:v>сообщение</x:v>
      </x:c>
      <x:c r="C23" s="1222" t="str">
        <x:v>2 000 руб./ч; 3 500 руб./ч; ЦБ + 1,5 п.п.</x:v>
      </x:c>
      <x:c r="D23" s="1222" t="str">
        <x:v>Условие</x:v>
      </x:c>
      <x:c r="E23" s="1222" t="str">
        <x:v>11.08.2026</x:v>
      </x:c>
      <x:c r="F23" s="1222" t="str">
        <x:v>—</x:v>
      </x:c>
      <x:c r="G23" s="1222" t="str">
        <x:v>Учебные ставки</x:v>
      </x:c>
      <x:c r="H23" s="1222" t="str">
        <x:v>Применено</x:v>
      </x:c>
    </x:row>
    <x:row r="24" ht="54" customHeight="1">
      <x:c r="A24" s="1222" t="str">
        <x:v>Банк России</x:v>
      </x:c>
      <x:c r="B24" s="1222" t="str">
        <x:v>решение от 24.07.2026</x:v>
      </x:c>
      <x:c r="C24" s="1222" t="str">
        <x:v>Ключевая ставка 14,00%</x:v>
      </x:c>
      <x:c r="D24" s="1222" t="str">
        <x:v>Официальный источник</x:v>
      </x:c>
      <x:c r="E24" s="1222" t="str">
        <x:v>11.08.2026</x:v>
      </x:c>
      <x:c r="F24" s="1222" t="str">
        <x:v>https://www.cbr.ru/press/pr/?file=24072026_133000key.htm</x:v>
      </x:c>
      <x:c r="G24" s="1222" t="str">
        <x:v>Ставка изменяется во времени</x:v>
      </x:c>
      <x:c r="H24" s="1222" t="str">
        <x:v>Применено</x:v>
      </x:c>
    </x:row>
    <x:row r="25" ht="54" customHeight="1">
      <x:c r="A25" s="1222" t="str">
        <x:v>Сценарные оценки проекта</x:v>
      </x:c>
      <x:c r="B25" s="1222" t="str">
        <x:v>допущения</x:v>
      </x:c>
      <x:c r="C25" s="1222" t="str">
        <x:v>Команда, срок, OPEX, частота и доля предотвращенного ущерба</x:v>
      </x:c>
      <x:c r="D25" s="1222" t="str">
        <x:v>Допущение</x:v>
      </x:c>
      <x:c r="E25" s="1222" t="str">
        <x:v>11.08.2026</x:v>
      </x:c>
      <x:c r="F25" s="1222" t="str">
        <x:v>—</x:v>
      </x:c>
      <x:c r="G25" s="1222" t="str">
        <x:v>Требуют подтверждения до инвестрешения</x:v>
      </x:c>
      <x:c r="H25" s="1222" t="str">
        <x:v>Отделено от фактов</x:v>
      </x:c>
    </x:row>
    <x:row r="26">
      <x:c r="A26" s="322"/>
      <x:c r="B26" s="322"/>
      <x:c r="C26" s="322"/>
      <x:c r="D26" s="322"/>
      <x:c r="E26" s="322"/>
      <x:c r="F26" s="322"/>
      <x:c r="G26" s="322"/>
      <x:c r="H26" s="322"/>
    </x:row>
  </x:sheetData>
  <x:mergeCells>
    <x:mergeCell ref="A1:H2"/>
    <x:mergeCell ref="A3:N3"/>
    <x:mergeCell ref="A5:H5"/>
    <x:mergeCell ref="A16:H16"/>
    <x:mergeCell ref="A19:H19"/>
  </x:mergeCells>
  <x:conditionalFormatting sqref="G7:G14">
    <x:cfRule type="containsText" dxfId="4" priority="1" operator="containsText" text="OK"/>
    <x:cfRule type="containsText" dxfId="5" priority="2" operator="containsText" text="ОШИБКА"/>
  </x:conditionalFormatting>
  <x:pageMargins left="0.7" right="0.7" top="0.75" bottom="0.75" header="0.3" footer="0.3"/>
</x:worksheet>
</file>