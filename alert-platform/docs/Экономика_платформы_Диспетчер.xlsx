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92927b00024a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Допущения" sheetId="1" r:id="Radedb217a7514582"/>
    <x:sheet xmlns:r="http://schemas.openxmlformats.org/officeDocument/2006/relationships" name="Сравнение" sheetId="2" r:id="R7ff75b533fbb41e9"/>
    <x:sheet xmlns:r="http://schemas.openxmlformats.org/officeDocument/2006/relationships" name="Денежный поток" sheetId="3" r:id="R5b75d9d40af74280"/>
    <x:sheet xmlns:r="http://schemas.openxmlformats.org/officeDocument/2006/relationships" name="Чувствительность" sheetId="4" r:id="R87b4d0cf436d4f3b"/>
    <x:sheet xmlns:r="http://schemas.openxmlformats.org/officeDocument/2006/relationships" name="Проверки" sheetId="5" r:id="R6463453a02c0427e"/>
    <x:sheet xmlns:r="http://schemas.openxmlformats.org/officeDocument/2006/relationships" name="Источники" sheetId="6" r:id="Re7c74cc5cf974362"/>
    <x:sheet xmlns:r="http://schemas.openxmlformats.org/officeDocument/2006/relationships" name="Резюме" sheetId="7" r:id="Rfbd5dd0cfaf240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#,##0.00"/>
    <x:numFmt numFmtId="201" formatCode="0"/>
    <x:numFmt numFmtId="202" formatCode="#,##0 &quot;₽&quot;"/>
    <x:numFmt numFmtId="203" formatCode="0.0%"/>
    <x:numFmt numFmtId="204" formatCode="#,##0.0"/>
    <x:numFmt numFmtId="205" formatCode="0.0 &quot;мин&quot;"/>
    <x:numFmt numFmtId="206" formatCode="0.0&quot;×&quot;"/>
    <x:numFmt numFmtId="207" formatCode="0.0,, &quot;млн ₽&quot;"/>
    <x:numFmt numFmtId="208" formatCode="0.0 &quot;мес.&quot;"/>
    <x:numFmt numFmtId="209" formatCode="0 &quot;инц.&quot;"/>
  </x:numFmts>
  <x:fonts count="54">
    <x:font>
      <x:sz val="11"/>
      <x:name val="Carlito"/>
    </x:font>
    <x:font>
      <x:b/>
      <x:sz val="20"/>
      <x:color rgb="FFFFFFFF"/>
      <x:name val="Carlito"/>
    </x:font>
    <x:font>
      <x:i/>
      <x:sz val="10"/>
      <x:color rgb="FF16324F"/>
      <x:name val="Carlito"/>
    </x:font>
    <x:font>
      <x:b/>
      <x:sz val="11"/>
      <x:color rgb="FFFFFFFF"/>
      <x:name val="Carlito"/>
    </x:font>
    <x:font>
      <x:b/>
      <x:sz val="11"/>
      <x:color rgb="FF0563C1"/>
      <x:name val="Carlito"/>
    </x:font>
    <x:font>
      <x:i/>
      <x:sz val="11"/>
      <x:color rgb="FF2E7D32"/>
      <x:name val="Carlito"/>
    </x:font>
    <x:font>
      <x:sz val="11"/>
      <x:color rgb="FF0563C1"/>
      <x:name val="Carlito"/>
    </x:font>
    <x:font>
      <x:b/>
      <x:sz val="11"/>
      <x:color rgb="FF2E7D32"/>
      <x:name val="Carlito"/>
    </x:font>
    <x:font>
      <x:b/>
      <x:sz val="11"/>
      <x:color rgb="FFC00000"/>
      <x:name val="Carlito"/>
    </x:font>
    <x:font>
      <x:b/>
      <x:sz val="10"/>
      <x:color rgb="FFFFFFFF"/>
      <x:name val="Aptos"/>
    </x:font>
    <x:font>
      <x:i/>
      <x:sz val="10"/>
      <x:color rgb="FF16324F"/>
      <x:name val="Aptos"/>
    </x:font>
    <x:font>
      <x:b/>
      <x:sz val="10"/>
      <x:color rgb="FF0563C1"/>
      <x:name val="Aptos"/>
    </x:font>
    <x:font>
      <x:sz val="10"/>
      <x:name val="Aptos"/>
    </x:font>
    <x:font>
      <x:i/>
      <x:sz val="10"/>
      <x:color rgb="FF2E7D32"/>
      <x:name val="Aptos"/>
    </x:font>
    <x:font>
      <x:sz val="10"/>
      <x:color rgb="FF0563C1"/>
      <x:name val="Aptos"/>
    </x:font>
    <x:font>
      <x:b/>
      <x:sz val="10"/>
      <x:color rgb="FF2E7D32"/>
      <x:name val="Aptos"/>
    </x:font>
    <x:font>
      <x:b/>
      <x:sz val="10"/>
      <x:color rgb="FFC00000"/>
      <x:name val="Aptos"/>
    </x:font>
    <x:font>
      <x:b/>
      <x:sz val="10"/>
      <x:color rgb="FFFFFFFF"/>
      <x:name val="Aptos Display"/>
    </x:font>
    <x:font>
      <x:i/>
      <x:sz val="10"/>
      <x:color rgb="FF16324F"/>
      <x:name val="Aptos Display"/>
    </x:font>
    <x:font>
      <x:i/>
      <x:sz val="10"/>
      <x:color rgb="FFFFFFFF"/>
      <x:name val="Aptos Display"/>
    </x:font>
    <x:font>
      <x:b/>
      <x:sz val="11"/>
      <x:name val="Carlito"/>
    </x:font>
    <x:font>
      <x:b/>
      <x:sz val="11"/>
      <x:color rgb="FFC58A00"/>
      <x:name val="Carlito"/>
    </x:font>
    <x:font>
      <x:sz val="11"/>
      <x:color rgb="FF2E7D32"/>
      <x:name val="Carlito"/>
    </x:font>
    <x:font>
      <x:b/>
      <x:sz val="14"/>
      <x:color rgb="FF16324F"/>
      <x:name val="Carlito"/>
    </x:font>
    <x:font>
      <x:b/>
      <x:sz val="11"/>
      <x:color rgb="FF16324F"/>
      <x:name val="Carlito"/>
    </x:font>
    <x:font>
      <x:sz val="11"/>
      <x:color rgb="FF666666"/>
      <x:name val="Carlito"/>
    </x:font>
    <x:font>
      <x:b/>
      <x:sz val="14"/>
      <x:color rgb="FFFFFFFF"/>
      <x:name val="Carlito"/>
    </x:font>
    <x:font>
      <x:sz val="11"/>
      <x:color rgb="FFC00000"/>
      <x:name val="Carlito"/>
    </x:font>
    <x:font>
      <x:b/>
      <x:sz val="18"/>
      <x:color rgb="FF16324F"/>
      <x:name val="Carlito"/>
    </x:font>
    <x:font>
      <x:b/>
      <x:sz val="20"/>
      <x:color rgb="FF16324F"/>
      <x:name val="Carlito"/>
    </x:font>
    <x:font>
      <x:i/>
      <x:sz val="11"/>
      <x:color rgb="FFC58A00"/>
      <x:name val="Carlito"/>
    </x:font>
    <x:font>
      <x:b/>
      <x:sz val="20"/>
      <x:color rgb="FFFFFFFF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8"/>
      <x:color rgb="FF16324F"/>
      <x:name val="Aptos"/>
    </x:font>
    <x:font>
      <x:b/>
      <x:sz val="20"/>
      <x:color rgb="FF16324F"/>
      <x:name val="Aptos"/>
    </x:font>
    <x:font>
      <x:b/>
      <x:sz val="11"/>
      <x:color rgb="FF2E7D32"/>
      <x:name val="Aptos"/>
    </x:font>
    <x:font>
      <x:i/>
      <x:sz val="11"/>
      <x:color rgb="FFC58A00"/>
      <x:name val="Aptos"/>
    </x:font>
    <x:font>
      <x:b/>
      <x:sz val="10"/>
      <x:color rgb="FF16324F"/>
      <x:name val="Aptos"/>
    </x:font>
    <x:font>
      <x:i/>
      <x:sz val="10"/>
      <x:color rgb="FFC58A00"/>
      <x:name val="Aptos"/>
    </x:font>
    <x:font>
      <x:sz val="11"/>
      <x:color rgb="FF2E7D32"/>
      <x:name val="Aptos"/>
    </x:font>
    <x:font>
      <x:b/>
      <x:sz val="11"/>
      <x:name val="Aptos"/>
    </x:font>
    <x:font>
      <x:b/>
      <x:sz val="11"/>
      <x:color rgb="FFC58A00"/>
      <x:name val="Aptos"/>
    </x:font>
    <x:font>
      <x:sz val="10"/>
      <x:color rgb="FF2E7D32"/>
      <x:name val="Aptos"/>
    </x:font>
    <x:font>
      <x:b/>
      <x:sz val="10"/>
      <x:name val="Aptos"/>
    </x:font>
    <x:font>
      <x:b/>
      <x:sz val="10"/>
      <x:color rgb="FFC58A00"/>
      <x:name val="Aptos"/>
    </x:font>
    <x:font>
      <x:b/>
      <x:sz val="14"/>
      <x:color rgb="FF16324F"/>
      <x:name val="Aptos"/>
    </x:font>
    <x:font>
      <x:i/>
      <x:sz val="11"/>
      <x:color rgb="FF2E7D32"/>
      <x:name val="Aptos"/>
    </x:font>
    <x:font>
      <x:b/>
      <x:sz val="11"/>
      <x:color rgb="FF16324F"/>
      <x:name val="Aptos"/>
    </x:font>
    <x:font>
      <x:sz val="11"/>
      <x:color rgb="FF666666"/>
      <x:name val="Aptos"/>
    </x:font>
    <x:font>
      <x:sz val="10"/>
      <x:color rgb="FF666666"/>
      <x:name val="Aptos"/>
    </x:font>
    <x:font>
      <x:b/>
      <x:sz val="14"/>
      <x:color rgb="FFFFFFFF"/>
      <x:name val="Aptos"/>
    </x:font>
    <x:font>
      <x:sz val="11"/>
      <x:color rgb="FFC00000"/>
      <x:name val="Aptos"/>
    </x:font>
    <x:font>
      <x:sz val="10"/>
      <x:color rgb="FFC00000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CE4D6"/>
      </x:patternFill>
    </x:fill>
    <x:fill>
      <x:patternFill patternType="solid">
        <x:fgColor rgb="FFF2F2F2"/>
      </x:patternFill>
    </x:fill>
  </x:fills>
  <x:borders count="6">
    <x:border/>
    <x:border>
      <x:bottom style="thin">
        <x:color rgb="FF16324F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bottom style="thin">
        <x:color rgb="FF1F4E78"/>
      </x:bottom>
    </x:border>
  </x:borders>
  <x:cellStyleXfs count="1">
    <x:xf numFmtId="0" fontId="0" fillId="0" borderId="0"/>
  </x:cellStyleXfs>
  <x:cellXfs count="3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vertical="center"/>
    </x:xf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center" wrapText="1"/>
    </x:xf>
    <x:xf numFmtId="0" fontId="3" fillId="7" borderId="1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right"/>
    </x:xf>
    <x:xf numFmtId="0" fontId="7" fillId="6" borderId="0" xfId="0" applyNumberFormat="1" applyFont="1" applyFill="1" applyBorder="1"/>
    <x:xf numFmtId="200" fontId="6" fillId="5" borderId="0" xfId="0" applyNumberFormat="1" applyFont="1" applyFill="1" applyBorder="1" applyAlignment="1">
      <x:alignment horizontal="right"/>
    </x:xf>
    <x:xf numFmtId="200" fontId="7" fillId="6" borderId="0" xfId="0" applyNumberFormat="1" applyFont="1" applyFill="1" applyBorder="1"/>
    <x:xf numFmtId="201" fontId="6" fillId="5" borderId="0" xfId="0" applyNumberFormat="1" applyFont="1" applyFill="1" applyBorder="1" applyAlignment="1">
      <x:alignment horizontal="right"/>
    </x:xf>
    <x:xf numFmtId="202" fontId="6" fillId="5" borderId="0" xfId="0" applyNumberFormat="1" applyFont="1" applyFill="1" applyBorder="1" applyAlignment="1">
      <x:alignment horizontal="right"/>
    </x:xf>
    <x:xf numFmtId="202" fontId="7" fillId="6" borderId="0" xfId="0" applyNumberFormat="1" applyFont="1" applyFill="1" applyBorder="1"/>
    <x:xf numFmtId="203" fontId="6" fillId="5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1" fontId="6" fillId="5" borderId="0" xfId="0" applyNumberFormat="1" applyFont="1" applyFill="1" applyBorder="1" applyAlignment="1">
      <x:alignment horizontal="right" wrapText="1"/>
    </x:xf>
    <x:xf numFmtId="200" fontId="0" fillId="0" borderId="0" xfId="0" applyNumberFormat="1" applyFont="1" applyFill="1" applyBorder="1" applyAlignment="1">
      <x:alignment wrapText="1"/>
    </x:xf>
    <x:xf numFmtId="202" fontId="6" fillId="5" borderId="0" xfId="0" applyNumberFormat="1" applyFont="1" applyFill="1" applyBorder="1" applyAlignment="1">
      <x:alignment horizontal="right" wrapText="1"/>
    </x:xf>
    <x:xf numFmtId="202" fontId="7" fillId="6" borderId="0" xfId="0" applyNumberFormat="1" applyFont="1" applyFill="1" applyBorder="1" applyAlignment="1">
      <x:alignment wrapText="1"/>
    </x:xf>
    <x:xf numFmtId="203" fontId="6" fillId="5" borderId="0" xfId="0" applyNumberFormat="1" applyFont="1" applyFill="1" applyBorder="1" applyAlignment="1">
      <x:alignment horizontal="right" wrapText="1"/>
    </x:xf>
    <x:xf numFmtId="0" fontId="3" fillId="7" borderId="0" xfId="0" applyNumberFormat="1" applyFont="1" applyFill="1" applyBorder="1" applyAlignment="1">
      <x:alignment vertical="center" wrapText="1"/>
    </x:xf>
    <x:xf numFmtId="200" fontId="6" fillId="5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vertical="center" wrapText="1"/>
    </x:xf>
    <x:xf numFmtId="201" fontId="6" fillId="5" borderId="0" xfId="0" applyNumberFormat="1" applyFont="1" applyFill="1" applyBorder="1" applyAlignment="1">
      <x:alignment horizontal="right"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2" fontId="6" fillId="5" borderId="0" xfId="0" applyNumberFormat="1" applyFont="1" applyFill="1" applyBorder="1" applyAlignment="1">
      <x:alignment horizontal="right" vertical="center" wrapText="1"/>
    </x:xf>
    <x:xf numFmtId="202" fontId="7" fillId="6" borderId="0" xfId="0" applyNumberFormat="1" applyFont="1" applyFill="1" applyBorder="1" applyAlignment="1">
      <x:alignment vertical="center" wrapText="1"/>
    </x:xf>
    <x:xf numFmtId="203" fontId="6" fillId="5" borderId="0" xfId="0" applyNumberFormat="1" applyFont="1" applyFill="1" applyBorder="1" applyAlignment="1">
      <x:alignment horizontal="right" vertical="center" wrapText="1"/>
    </x:xf>
    <x:xf numFmtId="200" fontId="6" fillId="5" borderId="0" xfId="0" applyNumberFormat="1" applyFont="1" applyFill="1" applyBorder="1" applyAlignment="1">
      <x:alignment horizontal="right" vertical="center" wrapText="1"/>
    </x:xf>
    <x:xf numFmtId="0" fontId="9" fillId="2" borderId="0" xfId="0" applyNumberFormat="1" applyFont="1" applyFill="1" applyBorder="1" applyAlignment="1">
      <x:alignment horizontal="left" vertical="center"/>
    </x:xf>
    <x:xf numFmtId="0" fontId="10" fillId="3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1" fillId="5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3" fillId="6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vertic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201" fontId="14" fillId="5" borderId="0" xfId="0" applyNumberFormat="1" applyFont="1" applyFill="1" applyBorder="1" applyAlignment="1">
      <x:alignment horizontal="right" vertical="center" wrapText="1"/>
    </x:xf>
    <x:xf numFmtId="200" fontId="12" fillId="0" borderId="0" xfId="0" applyNumberFormat="1" applyFont="1" applyFill="1" applyBorder="1" applyAlignment="1">
      <x:alignment vertical="center" wrapText="1"/>
    </x:xf>
    <x:xf numFmtId="202" fontId="14" fillId="5" borderId="0" xfId="0" applyNumberFormat="1" applyFont="1" applyFill="1" applyBorder="1" applyAlignment="1">
      <x:alignment horizontal="right" vertical="center" wrapText="1"/>
    </x:xf>
    <x:xf numFmtId="202" fontId="15" fillId="6" borderId="0" xfId="0" applyNumberFormat="1" applyFont="1" applyFill="1" applyBorder="1" applyAlignment="1">
      <x:alignment vertical="center" wrapText="1"/>
    </x:xf>
    <x:xf numFmtId="203" fontId="14" fillId="5" borderId="0" xfId="0" applyNumberFormat="1" applyFont="1" applyFill="1" applyBorder="1" applyAlignment="1">
      <x:alignment horizontal="right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200" fontId="14" fillId="5" borderId="0" xfId="0" applyNumberFormat="1" applyFont="1" applyFill="1" applyBorder="1" applyAlignment="1">
      <x:alignment horizontal="right" vertical="center" wrapText="1"/>
    </x:xf>
    <x:xf numFmtId="0" fontId="16" fillId="8" borderId="0" xfId="0" applyNumberFormat="1" applyFont="1" applyFill="1" applyBorder="1" applyAlignment="1">
      <x:alignment vertical="center" wrapText="1"/>
    </x:xf>
    <x:xf numFmtId="0" fontId="17" fillId="2" borderId="0" xfId="0" applyNumberFormat="1" applyFont="1" applyFill="1" applyBorder="1" applyAlignment="1">
      <x:alignment horizontal="left" vertical="center"/>
    </x:xf>
    <x:xf numFmtId="0" fontId="18" fillId="3" borderId="0" xfId="0" applyNumberFormat="1" applyFont="1" applyFill="1" applyBorder="1" applyAlignment="1">
      <x:alignment vertical="center"/>
    </x:xf>
    <x:xf numFmtId="0" fontId="19" fillId="3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3" fontId="0" fillId="0" borderId="0" xfId="0" applyNumberFormat="1" applyFont="1" applyFill="1" applyBorder="1"/>
    <x:xf numFmtId="202" fontId="0" fillId="0" borderId="0" xfId="0" applyNumberFormat="1" applyFont="1" applyFill="1" applyBorder="1"/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206" fontId="0" fillId="0" borderId="0" xfId="0" applyNumberFormat="1" applyFont="1" applyFill="1" applyBorder="1"/>
    <x:xf numFmtId="202" fontId="0" fillId="6" borderId="0" xfId="0" applyNumberFormat="1" applyFont="1" applyFill="1" applyBorder="1"/>
    <x:xf numFmtId="203" fontId="0" fillId="6" borderId="0" xfId="0" applyNumberFormat="1" applyFont="1" applyFill="1" applyBorder="1"/>
    <x:xf numFmtId="0" fontId="20" fillId="0" borderId="0" xfId="0" applyNumberFormat="1" applyFont="1" applyFill="1" applyBorder="1"/>
    <x:xf numFmtId="202" fontId="20" fillId="0" borderId="0" xfId="0" applyNumberFormat="1" applyFont="1" applyFill="1" applyBorder="1"/>
    <x:xf numFmtId="202" fontId="20" fillId="6" borderId="0" xfId="0" applyNumberFormat="1" applyFont="1" applyFill="1" applyBorder="1"/>
    <x:xf numFmtId="203" fontId="20" fillId="6" borderId="0" xfId="0" applyNumberFormat="1" applyFont="1" applyFill="1" applyBorder="1"/>
    <x:xf numFmtId="203" fontId="20" fillId="0" borderId="0" xfId="0" applyNumberFormat="1" applyFont="1" applyFill="1" applyBorder="1"/>
    <x:xf numFmtId="202" fontId="0" fillId="5" borderId="0" xfId="0" applyNumberFormat="1" applyFont="1" applyFill="1" applyBorder="1"/>
    <x:xf numFmtId="0" fontId="21" fillId="5" borderId="0" xfId="0" applyNumberFormat="1" applyFont="1" applyFill="1" applyBorder="1"/>
    <x:xf numFmtId="202" fontId="21" fillId="5" borderId="0" xfId="0" applyNumberFormat="1" applyFont="1" applyFill="1" applyBorder="1"/>
    <x:xf numFmtId="204" fontId="22" fillId="0" borderId="0" xfId="0" applyNumberFormat="1" applyFont="1" applyFill="1" applyBorder="1"/>
    <x:xf numFmtId="202" fontId="22" fillId="0" borderId="0" xfId="0" applyNumberFormat="1" applyFont="1" applyFill="1" applyBorder="1"/>
    <x:xf numFmtId="205" fontId="22" fillId="0" borderId="0" xfId="0" applyNumberFormat="1" applyFont="1" applyFill="1" applyBorder="1"/>
    <x:xf numFmtId="201" fontId="22" fillId="0" borderId="0" xfId="0" applyNumberFormat="1" applyFont="1" applyFill="1" applyBorder="1"/>
    <x:xf numFmtId="202" fontId="7" fillId="0" borderId="0" xfId="0" applyNumberFormat="1" applyFont="1" applyFill="1" applyBorder="1"/>
    <x:xf numFmtId="203" fontId="7" fillId="0" borderId="0" xfId="0" applyNumberFormat="1" applyFont="1" applyFill="1" applyBorder="1"/>
    <x:xf numFmtId="203" fontId="22" fillId="0" borderId="0" xfId="0" applyNumberFormat="1" applyFont="1" applyFill="1" applyBorder="1"/>
    <x:xf numFmtId="203" fontId="7" fillId="6" borderId="0" xfId="0" applyNumberFormat="1" applyFont="1" applyFill="1" applyBorder="1"/>
    <x:xf numFmtId="204" fontId="22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22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5" fontId="22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1" fontId="22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0" fillId="0" borderId="0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wrapText="1"/>
    </x:xf>
    <x:xf numFmtId="202" fontId="20" fillId="6" borderId="0" xfId="0" applyNumberFormat="1" applyFont="1" applyFill="1" applyBorder="1" applyAlignment="1">
      <x:alignment wrapText="1"/>
    </x:xf>
    <x:xf numFmtId="203" fontId="20" fillId="6" borderId="0" xfId="0" applyNumberFormat="1" applyFont="1" applyFill="1" applyBorder="1" applyAlignment="1">
      <x:alignment wrapText="1"/>
    </x:xf>
    <x:xf numFmtId="203" fontId="7" fillId="0" borderId="0" xfId="0" applyNumberFormat="1" applyFont="1" applyFill="1" applyBorder="1" applyAlignment="1">
      <x:alignment wrapText="1"/>
    </x:xf>
    <x:xf numFmtId="203" fontId="7" fillId="6" borderId="0" xfId="0" applyNumberFormat="1" applyFont="1" applyFill="1" applyBorder="1" applyAlignment="1">
      <x:alignment wrapText="1"/>
    </x:xf>
    <x:xf numFmtId="203" fontId="22" fillId="0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wrapText="1"/>
    </x:xf>
    <x:xf numFmtId="202" fontId="21" fillId="5" borderId="0" xfId="0" applyNumberFormat="1" applyFont="1" applyFill="1" applyBorder="1" applyAlignment="1">
      <x:alignment wrapText="1"/>
    </x:xf>
    <x:xf numFmtId="204" fontId="22" fillId="0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202" fontId="22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205" fontId="22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 applyAlignment="1">
      <x:alignment vertical="center" wrapText="1"/>
    </x:xf>
    <x:xf numFmtId="201" fontId="22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0" fontId="20" fillId="0" borderId="0" xfId="0" applyNumberFormat="1" applyFont="1" applyFill="1" applyBorder="1" applyAlignment="1">
      <x:alignment vertical="center" wrapText="1"/>
    </x:xf>
    <x:xf numFmtId="202" fontId="7" fillId="0" borderId="0" xfId="0" applyNumberFormat="1" applyFont="1" applyFill="1" applyBorder="1" applyAlignment="1">
      <x:alignment vertical="center" wrapText="1"/>
    </x:xf>
    <x:xf numFmtId="202" fontId="20" fillId="6" borderId="0" xfId="0" applyNumberFormat="1" applyFont="1" applyFill="1" applyBorder="1" applyAlignment="1">
      <x:alignment vertical="center" wrapText="1"/>
    </x:xf>
    <x:xf numFmtId="203" fontId="20" fillId="6" borderId="0" xfId="0" applyNumberFormat="1" applyFont="1" applyFill="1" applyBorder="1" applyAlignment="1">
      <x:alignment vertical="center" wrapText="1"/>
    </x:xf>
    <x:xf numFmtId="203" fontId="7" fillId="0" borderId="0" xfId="0" applyNumberFormat="1" applyFont="1" applyFill="1" applyBorder="1" applyAlignment="1">
      <x:alignment vertical="center" wrapText="1"/>
    </x:xf>
    <x:xf numFmtId="203" fontId="7" fillId="6" borderId="0" xfId="0" applyNumberFormat="1" applyFont="1" applyFill="1" applyBorder="1" applyAlignment="1">
      <x:alignment vertical="center" wrapText="1"/>
    </x:xf>
    <x:xf numFmtId="203" fontId="22" fillId="0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21" fillId="5" borderId="0" xfId="0" applyNumberFormat="1" applyFont="1" applyFill="1" applyBorder="1" applyAlignment="1">
      <x:alignment vertical="center" wrapText="1"/>
    </x:xf>
    <x:xf numFmtId="202" fontId="21" fillId="5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2" xfId="0" applyNumberFormat="1" applyFont="1" applyFill="1" applyBorder="1" applyAlignment="1">
      <x:alignment horizontal="center"/>
    </x:xf>
    <x:xf numFmtId="0" fontId="0" fillId="3" borderId="3" xfId="0" applyNumberFormat="1" applyFont="1" applyFill="1" applyBorder="1" applyAlignment="1">
      <x:alignment horizontal="center"/>
    </x:xf>
    <x:xf numFmtId="0" fontId="0" fillId="3" borderId="4" xfId="0" applyNumberFormat="1" applyFont="1" applyFill="1" applyBorder="1" applyAlignment="1">
      <x:alignment horizontal="center"/>
    </x:xf>
    <x:xf numFmtId="0" fontId="23" fillId="3" borderId="2" xfId="0" applyNumberFormat="1" applyFont="1" applyFill="1" applyBorder="1" applyAlignment="1">
      <x:alignment horizontal="center"/>
    </x:xf>
    <x:xf numFmtId="0" fontId="23" fillId="3" borderId="3" xfId="0" applyNumberFormat="1" applyFont="1" applyFill="1" applyBorder="1" applyAlignment="1">
      <x:alignment horizontal="center"/>
    </x:xf>
    <x:xf numFmtId="0" fontId="23" fillId="3" borderId="4" xfId="0" applyNumberFormat="1" applyFont="1" applyFill="1" applyBorder="1" applyAlignment="1">
      <x:alignment horizontal="center"/>
    </x:xf>
    <x:xf numFmtId="207" fontId="23" fillId="3" borderId="2" xfId="0" applyNumberFormat="1" applyFont="1" applyFill="1" applyBorder="1" applyAlignment="1">
      <x:alignment horizontal="center"/>
    </x:xf>
    <x:xf numFmtId="207" fontId="23" fillId="3" borderId="3" xfId="0" applyNumberFormat="1" applyFont="1" applyFill="1" applyBorder="1" applyAlignment="1">
      <x:alignment horizontal="center"/>
    </x:xf>
    <x:xf numFmtId="207" fontId="23" fillId="3" borderId="4" xfId="0" applyNumberFormat="1" applyFont="1" applyFill="1" applyBorder="1" applyAlignment="1">
      <x:alignment horizontal="center"/>
    </x:xf>
    <x:xf numFmtId="208" fontId="23" fillId="3" borderId="2" xfId="0" applyNumberFormat="1" applyFont="1" applyFill="1" applyBorder="1" applyAlignment="1">
      <x:alignment horizontal="center"/>
    </x:xf>
    <x:xf numFmtId="208" fontId="23" fillId="3" borderId="3" xfId="0" applyNumberFormat="1" applyFont="1" applyFill="1" applyBorder="1" applyAlignment="1">
      <x:alignment horizontal="center"/>
    </x:xf>
    <x:xf numFmtId="208" fontId="23" fillId="3" borderId="4" xfId="0" applyNumberFormat="1" applyFont="1" applyFill="1" applyBorder="1" applyAlignment="1">
      <x:alignment horizontal="center"/>
    </x:xf>
    <x:xf numFmtId="0" fontId="24" fillId="3" borderId="2" xfId="0" applyNumberFormat="1" applyFont="1" applyFill="1" applyBorder="1"/>
    <x:xf numFmtId="0" fontId="24" fillId="3" borderId="4" xfId="0" applyNumberFormat="1" applyFont="1" applyFill="1" applyBorder="1"/>
    <x:xf numFmtId="0" fontId="24" fillId="0" borderId="0" xfId="0" applyNumberFormat="1" applyFont="1" applyFill="1" applyBorder="1"/>
    <x:xf numFmtId="207" fontId="24" fillId="3" borderId="4" xfId="0" applyNumberFormat="1" applyFont="1" applyFill="1" applyBorder="1"/>
    <x:xf numFmtId="207" fontId="24" fillId="0" borderId="0" xfId="0" applyNumberFormat="1" applyFont="1" applyFill="1" applyBorder="1"/>
    <x:xf numFmtId="207" fontId="24" fillId="3" borderId="2" xfId="0" applyNumberFormat="1" applyFont="1" applyFill="1" applyBorder="1"/>
    <x:xf numFmtId="209" fontId="3" fillId="7" borderId="1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25" fillId="9" borderId="0" xfId="0" applyNumberFormat="1" applyFont="1" applyFill="1" applyBorder="1"/>
    <x:xf numFmtId="0" fontId="25" fillId="9" borderId="0" xfId="0" applyNumberFormat="1" applyFont="1" applyFill="1" applyBorder="1" applyAlignment="1">
      <x:alignment wrapText="1"/>
    </x:xf>
    <x:xf numFmtId="0" fontId="25" fillId="9" borderId="0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/>
    <x:xf numFmtId="0" fontId="26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27" fillId="8" borderId="0" xfId="0" applyNumberFormat="1" applyFont="1" applyFill="1" applyBorder="1"/>
    <x:xf numFmtId="0" fontId="27" fillId="8" borderId="0" xfId="0" applyNumberFormat="1" applyFont="1" applyFill="1" applyBorder="1" applyAlignment="1">
      <x:alignment wrapText="1"/>
    </x:xf>
    <x:xf numFmtId="0" fontId="27" fillId="8" borderId="0" xfId="0" applyNumberFormat="1" applyFont="1" applyFill="1" applyBorder="1" applyAlignment="1">
      <x:alignment vertical="center" wrapText="1"/>
    </x:xf>
    <x:xf numFmtId="0" fontId="28" fillId="3" borderId="0" xfId="0" applyNumberFormat="1" applyFont="1" applyFill="1" applyBorder="1"/>
    <x:xf numFmtId="0" fontId="28" fillId="3" borderId="5" xfId="0" applyNumberFormat="1" applyFont="1" applyFill="1" applyBorder="1"/>
    <x:xf numFmtId="0" fontId="28" fillId="3" borderId="0" xfId="0" applyNumberFormat="1" applyFont="1" applyFill="1" applyBorder="1" applyAlignment="1">
      <x:alignment horizontal="center"/>
    </x:xf>
    <x:xf numFmtId="0" fontId="28" fillId="3" borderId="5" xfId="0" applyNumberFormat="1" applyFont="1" applyFill="1" applyBorder="1" applyAlignment="1">
      <x:alignment horizontal="center"/>
    </x:xf>
    <x:xf numFmtId="0" fontId="28" fillId="3" borderId="0" xfId="0" applyNumberFormat="1" applyFont="1" applyFill="1" applyBorder="1" applyAlignment="1">
      <x:alignment horizontal="center" vertical="center"/>
    </x:xf>
    <x:xf numFmtId="0" fontId="28" fillId="3" borderId="5" xfId="0" applyNumberFormat="1" applyFont="1" applyFill="1" applyBorder="1" applyAlignment="1">
      <x:alignment horizontal="center" vertical="center"/>
    </x:xf>
    <x:xf numFmtId="0" fontId="29" fillId="3" borderId="0" xfId="0" applyNumberFormat="1" applyFont="1" applyFill="1" applyBorder="1"/>
    <x:xf numFmtId="0" fontId="29" fillId="3" borderId="5" xfId="0" applyNumberFormat="1" applyFont="1" applyFill="1" applyBorder="1"/>
    <x:xf numFmtId="0" fontId="29" fillId="3" borderId="0" xfId="0" applyNumberFormat="1" applyFont="1" applyFill="1" applyBorder="1" applyAlignment="1">
      <x:alignment horizontal="center"/>
    </x:xf>
    <x:xf numFmtId="0" fontId="29" fillId="3" borderId="5" xfId="0" applyNumberFormat="1" applyFont="1" applyFill="1" applyBorder="1" applyAlignment="1">
      <x:alignment horizontal="center"/>
    </x:xf>
    <x:xf numFmtId="0" fontId="29" fillId="3" borderId="0" xfId="0" applyNumberFormat="1" applyFont="1" applyFill="1" applyBorder="1" applyAlignment="1">
      <x:alignment horizontal="center" vertical="center"/>
    </x:xf>
    <x:xf numFmtId="0" fontId="29" fillId="3" borderId="5" xfId="0" applyNumberFormat="1" applyFont="1" applyFill="1" applyBorder="1" applyAlignment="1">
      <x:alignment horizontal="center" vertical="center"/>
    </x:xf>
    <x:xf numFmtId="207" fontId="29" fillId="3" borderId="0" xfId="0" applyNumberFormat="1" applyFont="1" applyFill="1" applyBorder="1" applyAlignment="1">
      <x:alignment horizontal="center" vertical="center"/>
    </x:xf>
    <x:xf numFmtId="207" fontId="29" fillId="3" borderId="5" xfId="0" applyNumberFormat="1" applyFont="1" applyFill="1" applyBorder="1" applyAlignment="1">
      <x:alignment horizontal="center" vertical="center"/>
    </x:xf>
    <x:xf numFmtId="208" fontId="29" fillId="3" borderId="0" xfId="0" applyNumberFormat="1" applyFont="1" applyFill="1" applyBorder="1" applyAlignment="1">
      <x:alignment horizontal="center" vertical="center"/>
    </x:xf>
    <x:xf numFmtId="208" fontId="29" fillId="3" borderId="5" xfId="0" applyNumberFormat="1" applyFont="1" applyFill="1" applyBorder="1" applyAlignment="1">
      <x:alignment horizontal="center" vertical="center"/>
    </x:xf>
    <x:xf numFmtId="207" fontId="0" fillId="0" borderId="0" xfId="0" applyNumberFormat="1" applyFont="1" applyFill="1" applyBorder="1"/>
    <x:xf numFmtId="207" fontId="0" fillId="6" borderId="0" xfId="0" applyNumberFormat="1" applyFont="1" applyFill="1" applyBorder="1"/>
    <x:xf numFmtId="207" fontId="7" fillId="6" borderId="0" xfId="0" applyNumberFormat="1" applyFont="1" applyFill="1" applyBorder="1"/>
    <x:xf numFmtId="0" fontId="30" fillId="5" borderId="0" xfId="0" applyNumberFormat="1" applyFont="1" applyFill="1" applyBorder="1"/>
    <x:xf numFmtId="0" fontId="30" fillId="5" borderId="0" xfId="0" applyNumberFormat="1" applyFont="1" applyFill="1" applyBorder="1" applyAlignment="1">
      <x:alignment wrapText="1"/>
    </x:xf>
    <x:xf numFmtId="0" fontId="30" fillId="5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7" fillId="6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 applyAlignment="1">
      <x:alignment wrapText="1"/>
    </x:xf>
    <x:xf numFmtId="0" fontId="31" fillId="2" borderId="0" xfId="0" applyNumberFormat="1" applyFont="1" applyFill="1" applyBorder="1" applyAlignment="1">
      <x:alignment horizontal="left" vertical="center"/>
    </x:xf>
    <x:xf numFmtId="0" fontId="32" fillId="0" borderId="0" xfId="0" applyNumberFormat="1" applyFont="1" applyFill="1" applyBorder="1"/>
    <x:xf numFmtId="0" fontId="33" fillId="7" borderId="0" xfId="0" applyNumberFormat="1" applyFont="1" applyFill="1" applyBorder="1" applyAlignment="1">
      <x:alignment horizontal="center" vertical="center"/>
    </x:xf>
    <x:xf numFmtId="0" fontId="34" fillId="3" borderId="0" xfId="0" applyNumberFormat="1" applyFont="1" applyFill="1" applyBorder="1" applyAlignment="1">
      <x:alignment horizontal="center" vertical="center"/>
    </x:xf>
    <x:xf numFmtId="207" fontId="35" fillId="3" borderId="0" xfId="0" applyNumberFormat="1" applyFont="1" applyFill="1" applyBorder="1" applyAlignment="1">
      <x:alignment horizontal="center" vertical="center"/>
    </x:xf>
    <x:xf numFmtId="208" fontId="35" fillId="3" borderId="0" xfId="0" applyNumberFormat="1" applyFont="1" applyFill="1" applyBorder="1" applyAlignment="1">
      <x:alignment horizontal="center" vertical="center"/>
    </x:xf>
    <x:xf numFmtId="0" fontId="34" fillId="3" borderId="5" xfId="0" applyNumberFormat="1" applyFont="1" applyFill="1" applyBorder="1" applyAlignment="1">
      <x:alignment horizontal="center" vertical="center"/>
    </x:xf>
    <x:xf numFmtId="207" fontId="35" fillId="3" borderId="5" xfId="0" applyNumberFormat="1" applyFont="1" applyFill="1" applyBorder="1" applyAlignment="1">
      <x:alignment horizontal="center" vertical="center"/>
    </x:xf>
    <x:xf numFmtId="208" fontId="35" fillId="3" borderId="5" xfId="0" applyNumberFormat="1" applyFont="1" applyFill="1" applyBorder="1" applyAlignment="1">
      <x:alignment horizontal="center" vertical="center"/>
    </x:xf>
    <x:xf numFmtId="0" fontId="33" fillId="7" borderId="0" xfId="0" applyNumberFormat="1" applyFont="1" applyFill="1" applyBorder="1" applyAlignment="1">
      <x:alignment vertical="center"/>
    </x:xf>
    <x:xf numFmtId="0" fontId="33" fillId="7" borderId="1" xfId="0" applyNumberFormat="1" applyFont="1" applyFill="1" applyBorder="1" applyAlignment="1">
      <x:alignment horizontal="center" vertical="center" wrapText="1"/>
    </x:xf>
    <x:xf numFmtId="0" fontId="32" fillId="0" borderId="0" xfId="0" applyNumberFormat="1" applyFont="1" applyFill="1" applyBorder="1" applyAlignment="1">
      <x:alignment wrapText="1"/>
    </x:xf>
    <x:xf numFmtId="207" fontId="32" fillId="0" borderId="0" xfId="0" applyNumberFormat="1" applyFont="1" applyFill="1" applyBorder="1" applyAlignment="1">
      <x:alignment wrapText="1"/>
    </x:xf>
    <x:xf numFmtId="0" fontId="36" fillId="6" borderId="0" xfId="0" applyNumberFormat="1" applyFont="1" applyFill="1" applyBorder="1" applyAlignment="1">
      <x:alignment wrapText="1"/>
    </x:xf>
    <x:xf numFmtId="207" fontId="36" fillId="6" borderId="0" xfId="0" applyNumberFormat="1" applyFont="1" applyFill="1" applyBorder="1" applyAlignment="1">
      <x:alignment wrapText="1"/>
    </x:xf>
    <x:xf numFmtId="203" fontId="36" fillId="6" borderId="0" xfId="0" applyNumberFormat="1" applyFont="1" applyFill="1" applyBorder="1" applyAlignment="1">
      <x:alignment wrapText="1"/>
    </x:xf>
    <x:xf numFmtId="0" fontId="33" fillId="7" borderId="0" xfId="0" applyNumberFormat="1" applyFont="1" applyFill="1" applyBorder="1" applyAlignment="1">
      <x:alignment vertical="center" wrapText="1"/>
    </x:xf>
    <x:xf numFmtId="204" fontId="32" fillId="0" borderId="0" xfId="0" applyNumberFormat="1" applyFont="1" applyFill="1" applyBorder="1" applyAlignment="1">
      <x:alignment wrapText="1"/>
    </x:xf>
    <x:xf numFmtId="203" fontId="32" fillId="0" borderId="0" xfId="0" applyNumberFormat="1" applyFont="1" applyFill="1" applyBorder="1" applyAlignment="1">
      <x:alignment wrapText="1"/>
    </x:xf>
    <x:xf numFmtId="208" fontId="32" fillId="0" borderId="0" xfId="0" applyNumberFormat="1" applyFont="1" applyFill="1" applyBorder="1" applyAlignment="1">
      <x:alignment wrapText="1"/>
    </x:xf>
    <x:xf numFmtId="0" fontId="36" fillId="6" borderId="0" xfId="0" applyNumberFormat="1" applyFont="1" applyFill="1" applyBorder="1" applyAlignment="1">
      <x:alignment vertical="center" wrapText="1"/>
    </x:xf>
    <x:xf numFmtId="0" fontId="37" fillId="5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38" fillId="3" borderId="0" xfId="0" applyNumberFormat="1" applyFont="1" applyFill="1" applyBorder="1" applyAlignment="1">
      <x:alignment horizontal="center" vertical="center"/>
    </x:xf>
    <x:xf numFmtId="207" fontId="38" fillId="3" borderId="0" xfId="0" applyNumberFormat="1" applyFont="1" applyFill="1" applyBorder="1" applyAlignment="1">
      <x:alignment horizontal="center" vertical="center"/>
    </x:xf>
    <x:xf numFmtId="208" fontId="38" fillId="3" borderId="0" xfId="0" applyNumberFormat="1" applyFont="1" applyFill="1" applyBorder="1" applyAlignment="1">
      <x:alignment horizontal="center" vertical="center"/>
    </x:xf>
    <x:xf numFmtId="0" fontId="38" fillId="3" borderId="5" xfId="0" applyNumberFormat="1" applyFont="1" applyFill="1" applyBorder="1" applyAlignment="1">
      <x:alignment horizontal="center" vertical="center"/>
    </x:xf>
    <x:xf numFmtId="207" fontId="38" fillId="3" borderId="5" xfId="0" applyNumberFormat="1" applyFont="1" applyFill="1" applyBorder="1" applyAlignment="1">
      <x:alignment horizontal="center" vertical="center"/>
    </x:xf>
    <x:xf numFmtId="208" fontId="38" fillId="3" borderId="5" xfId="0" applyNumberFormat="1" applyFont="1" applyFill="1" applyBorder="1" applyAlignment="1">
      <x:alignment horizontal="center" vertical="center"/>
    </x:xf>
    <x:xf numFmtId="0" fontId="12" fillId="0" borderId="0" xfId="0" applyNumberFormat="1" applyFont="1" applyFill="1" applyBorder="1" applyAlignment="1">
      <x:alignment wrapText="1"/>
    </x:xf>
    <x:xf numFmtId="207" fontId="12" fillId="0" borderId="0" xfId="0" applyNumberFormat="1" applyFont="1" applyFill="1" applyBorder="1" applyAlignment="1">
      <x:alignment wrapText="1"/>
    </x:xf>
    <x:xf numFmtId="0" fontId="15" fillId="6" borderId="0" xfId="0" applyNumberFormat="1" applyFont="1" applyFill="1" applyBorder="1" applyAlignment="1">
      <x:alignment wrapText="1"/>
    </x:xf>
    <x:xf numFmtId="207" fontId="15" fillId="6" borderId="0" xfId="0" applyNumberFormat="1" applyFont="1" applyFill="1" applyBorder="1" applyAlignment="1">
      <x:alignment wrapText="1"/>
    </x:xf>
    <x:xf numFmtId="203" fontId="15" fillId="6" borderId="0" xfId="0" applyNumberFormat="1" applyFont="1" applyFill="1" applyBorder="1" applyAlignment="1">
      <x:alignment wrapText="1"/>
    </x:xf>
    <x:xf numFmtId="204" fontId="12" fillId="0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208" fontId="12" fillId="0" borderId="0" xfId="0" applyNumberFormat="1" applyFont="1" applyFill="1" applyBorder="1" applyAlignment="1">
      <x:alignment wrapText="1"/>
    </x:xf>
    <x:xf numFmtId="0" fontId="15" fillId="6" borderId="0" xfId="0" applyNumberFormat="1" applyFont="1" applyFill="1" applyBorder="1" applyAlignment="1">
      <x:alignment vertical="center" wrapText="1"/>
    </x:xf>
    <x:xf numFmtId="0" fontId="39" fillId="5" borderId="0" xfId="0" applyNumberFormat="1" applyFont="1" applyFill="1" applyBorder="1" applyAlignment="1">
      <x:alignment vertical="center" wrapText="1"/>
    </x:xf>
    <x:xf numFmtId="0" fontId="32" fillId="0" borderId="0" xfId="0" applyNumberFormat="1" applyFont="1" applyFill="1" applyBorder="1" applyAlignment="1">
      <x:alignment vertical="center" wrapText="1"/>
    </x:xf>
    <x:xf numFmtId="204" fontId="40" fillId="0" borderId="0" xfId="0" applyNumberFormat="1" applyFont="1" applyFill="1" applyBorder="1" applyAlignment="1">
      <x:alignment vertical="center" wrapText="1"/>
    </x:xf>
    <x:xf numFmtId="204" fontId="32" fillId="0" borderId="0" xfId="0" applyNumberFormat="1" applyFont="1" applyFill="1" applyBorder="1" applyAlignment="1">
      <x:alignment vertical="center" wrapText="1"/>
    </x:xf>
    <x:xf numFmtId="203" fontId="32" fillId="0" borderId="0" xfId="0" applyNumberFormat="1" applyFont="1" applyFill="1" applyBorder="1" applyAlignment="1">
      <x:alignment vertical="center" wrapText="1"/>
    </x:xf>
    <x:xf numFmtId="202" fontId="40" fillId="0" borderId="0" xfId="0" applyNumberFormat="1" applyFont="1" applyFill="1" applyBorder="1" applyAlignment="1">
      <x:alignment vertical="center" wrapText="1"/>
    </x:xf>
    <x:xf numFmtId="202" fontId="32" fillId="0" borderId="0" xfId="0" applyNumberFormat="1" applyFont="1" applyFill="1" applyBorder="1" applyAlignment="1">
      <x:alignment vertical="center" wrapText="1"/>
    </x:xf>
    <x:xf numFmtId="205" fontId="40" fillId="0" borderId="0" xfId="0" applyNumberFormat="1" applyFont="1" applyFill="1" applyBorder="1" applyAlignment="1">
      <x:alignment vertical="center" wrapText="1"/>
    </x:xf>
    <x:xf numFmtId="205" fontId="32" fillId="0" borderId="0" xfId="0" applyNumberFormat="1" applyFont="1" applyFill="1" applyBorder="1" applyAlignment="1">
      <x:alignment vertical="center" wrapText="1"/>
    </x:xf>
    <x:xf numFmtId="201" fontId="40" fillId="0" borderId="0" xfId="0" applyNumberFormat="1" applyFont="1" applyFill="1" applyBorder="1" applyAlignment="1">
      <x:alignment vertical="center" wrapText="1"/>
    </x:xf>
    <x:xf numFmtId="201" fontId="32" fillId="0" borderId="0" xfId="0" applyNumberFormat="1" applyFont="1" applyFill="1" applyBorder="1" applyAlignment="1">
      <x:alignment vertical="center" wrapText="1"/>
    </x:xf>
    <x:xf numFmtId="0" fontId="41" fillId="0" borderId="0" xfId="0" applyNumberFormat="1" applyFont="1" applyFill="1" applyBorder="1" applyAlignment="1">
      <x:alignment vertical="center" wrapText="1"/>
    </x:xf>
    <x:xf numFmtId="202" fontId="36" fillId="0" borderId="0" xfId="0" applyNumberFormat="1" applyFont="1" applyFill="1" applyBorder="1" applyAlignment="1">
      <x:alignment vertical="center" wrapText="1"/>
    </x:xf>
    <x:xf numFmtId="202" fontId="41" fillId="6" borderId="0" xfId="0" applyNumberFormat="1" applyFont="1" applyFill="1" applyBorder="1" applyAlignment="1">
      <x:alignment vertical="center" wrapText="1"/>
    </x:xf>
    <x:xf numFmtId="203" fontId="41" fillId="6" borderId="0" xfId="0" applyNumberFormat="1" applyFont="1" applyFill="1" applyBorder="1" applyAlignment="1">
      <x:alignment vertical="center" wrapText="1"/>
    </x:xf>
    <x:xf numFmtId="202" fontId="36" fillId="6" borderId="0" xfId="0" applyNumberFormat="1" applyFont="1" applyFill="1" applyBorder="1" applyAlignment="1">
      <x:alignment vertical="center" wrapText="1"/>
    </x:xf>
    <x:xf numFmtId="203" fontId="36" fillId="0" borderId="0" xfId="0" applyNumberFormat="1" applyFont="1" applyFill="1" applyBorder="1" applyAlignment="1">
      <x:alignment vertical="center" wrapText="1"/>
    </x:xf>
    <x:xf numFmtId="203" fontId="36" fillId="6" borderId="0" xfId="0" applyNumberFormat="1" applyFont="1" applyFill="1" applyBorder="1" applyAlignment="1">
      <x:alignment vertical="center" wrapText="1"/>
    </x:xf>
    <x:xf numFmtId="203" fontId="40" fillId="0" borderId="0" xfId="0" applyNumberFormat="1" applyFont="1" applyFill="1" applyBorder="1" applyAlignment="1">
      <x:alignment vertical="center" wrapText="1"/>
    </x:xf>
    <x:xf numFmtId="206" fontId="32" fillId="0" borderId="0" xfId="0" applyNumberFormat="1" applyFont="1" applyFill="1" applyBorder="1" applyAlignment="1">
      <x:alignment vertical="center" wrapText="1"/>
    </x:xf>
    <x:xf numFmtId="0" fontId="42" fillId="5" borderId="0" xfId="0" applyNumberFormat="1" applyFont="1" applyFill="1" applyBorder="1" applyAlignment="1">
      <x:alignment vertical="center" wrapText="1"/>
    </x:xf>
    <x:xf numFmtId="202" fontId="42" fillId="5" borderId="0" xfId="0" applyNumberFormat="1" applyFont="1" applyFill="1" applyBorder="1" applyAlignment="1">
      <x:alignment vertical="center" wrapText="1"/>
    </x:xf>
    <x:xf numFmtId="204" fontId="43" fillId="0" borderId="0" xfId="0" applyNumberFormat="1" applyFont="1" applyFill="1" applyBorder="1" applyAlignment="1">
      <x:alignment vertical="center" wrapText="1"/>
    </x:xf>
    <x:xf numFmtId="204" fontId="12" fillId="0" borderId="0" xfId="0" applyNumberFormat="1" applyFont="1" applyFill="1" applyBorder="1" applyAlignment="1">
      <x:alignment vertical="center" wrapText="1"/>
    </x:xf>
    <x:xf numFmtId="203" fontId="12" fillId="0" borderId="0" xfId="0" applyNumberFormat="1" applyFont="1" applyFill="1" applyBorder="1" applyAlignment="1">
      <x:alignment vertical="center" wrapText="1"/>
    </x:xf>
    <x:xf numFmtId="202" fontId="43" fillId="0" borderId="0" xfId="0" applyNumberFormat="1" applyFont="1" applyFill="1" applyBorder="1" applyAlignment="1">
      <x:alignment vertical="center" wrapText="1"/>
    </x:xf>
    <x:xf numFmtId="202" fontId="12" fillId="0" borderId="0" xfId="0" applyNumberFormat="1" applyFont="1" applyFill="1" applyBorder="1" applyAlignment="1">
      <x:alignment vertical="center" wrapText="1"/>
    </x:xf>
    <x:xf numFmtId="205" fontId="43" fillId="0" borderId="0" xfId="0" applyNumberFormat="1" applyFont="1" applyFill="1" applyBorder="1" applyAlignment="1">
      <x:alignment vertical="center" wrapText="1"/>
    </x:xf>
    <x:xf numFmtId="205" fontId="12" fillId="0" borderId="0" xfId="0" applyNumberFormat="1" applyFont="1" applyFill="1" applyBorder="1" applyAlignment="1">
      <x:alignment vertical="center" wrapText="1"/>
    </x:xf>
    <x:xf numFmtId="201" fontId="43" fillId="0" borderId="0" xfId="0" applyNumberFormat="1" applyFont="1" applyFill="1" applyBorder="1" applyAlignment="1">
      <x:alignment vertical="center" wrapText="1"/>
    </x:xf>
    <x:xf numFmtId="201" fontId="12" fillId="0" borderId="0" xfId="0" applyNumberFormat="1" applyFont="1" applyFill="1" applyBorder="1" applyAlignment="1">
      <x:alignment vertical="center" wrapText="1"/>
    </x:xf>
    <x:xf numFmtId="0" fontId="44" fillId="0" borderId="0" xfId="0" applyNumberFormat="1" applyFont="1" applyFill="1" applyBorder="1" applyAlignment="1">
      <x:alignment vertical="center" wrapText="1"/>
    </x:xf>
    <x:xf numFmtId="202" fontId="15" fillId="0" borderId="0" xfId="0" applyNumberFormat="1" applyFont="1" applyFill="1" applyBorder="1" applyAlignment="1">
      <x:alignment vertical="center" wrapText="1"/>
    </x:xf>
    <x:xf numFmtId="202" fontId="44" fillId="6" borderId="0" xfId="0" applyNumberFormat="1" applyFont="1" applyFill="1" applyBorder="1" applyAlignment="1">
      <x:alignment vertical="center" wrapText="1"/>
    </x:xf>
    <x:xf numFmtId="203" fontId="44" fillId="6" borderId="0" xfId="0" applyNumberFormat="1" applyFont="1" applyFill="1" applyBorder="1" applyAlignment="1">
      <x:alignment vertical="center" wrapText="1"/>
    </x:xf>
    <x:xf numFmtId="203" fontId="15" fillId="0" borderId="0" xfId="0" applyNumberFormat="1" applyFont="1" applyFill="1" applyBorder="1" applyAlignment="1">
      <x:alignment vertical="center" wrapText="1"/>
    </x:xf>
    <x:xf numFmtId="203" fontId="15" fillId="6" borderId="0" xfId="0" applyNumberFormat="1" applyFont="1" applyFill="1" applyBorder="1" applyAlignment="1">
      <x:alignment vertical="center" wrapText="1"/>
    </x:xf>
    <x:xf numFmtId="203" fontId="43" fillId="0" borderId="0" xfId="0" applyNumberFormat="1" applyFont="1" applyFill="1" applyBorder="1" applyAlignment="1">
      <x:alignment vertical="center" wrapText="1"/>
    </x:xf>
    <x:xf numFmtId="206" fontId="12" fillId="0" borderId="0" xfId="0" applyNumberFormat="1" applyFont="1" applyFill="1" applyBorder="1" applyAlignment="1">
      <x:alignment vertical="center" wrapText="1"/>
    </x:xf>
    <x:xf numFmtId="0" fontId="45" fillId="5" borderId="0" xfId="0" applyNumberFormat="1" applyFont="1" applyFill="1" applyBorder="1" applyAlignment="1">
      <x:alignment vertical="center" wrapText="1"/>
    </x:xf>
    <x:xf numFmtId="202" fontId="45" fillId="5" borderId="0" xfId="0" applyNumberFormat="1" applyFont="1" applyFill="1" applyBorder="1" applyAlignment="1">
      <x:alignment vertical="center" wrapText="1"/>
    </x:xf>
    <x:xf numFmtId="0" fontId="46" fillId="3" borderId="2" xfId="0" applyNumberFormat="1" applyFont="1" applyFill="1" applyBorder="1" applyAlignment="1">
      <x:alignment horizontal="center"/>
    </x:xf>
    <x:xf numFmtId="0" fontId="46" fillId="3" borderId="3" xfId="0" applyNumberFormat="1" applyFont="1" applyFill="1" applyBorder="1" applyAlignment="1">
      <x:alignment horizontal="center"/>
    </x:xf>
    <x:xf numFmtId="0" fontId="46" fillId="3" borderId="4" xfId="0" applyNumberFormat="1" applyFont="1" applyFill="1" applyBorder="1" applyAlignment="1">
      <x:alignment horizontal="center"/>
    </x:xf>
    <x:xf numFmtId="207" fontId="46" fillId="3" borderId="2" xfId="0" applyNumberFormat="1" applyFont="1" applyFill="1" applyBorder="1" applyAlignment="1">
      <x:alignment horizontal="center"/>
    </x:xf>
    <x:xf numFmtId="207" fontId="46" fillId="3" borderId="3" xfId="0" applyNumberFormat="1" applyFont="1" applyFill="1" applyBorder="1" applyAlignment="1">
      <x:alignment horizontal="center"/>
    </x:xf>
    <x:xf numFmtId="207" fontId="46" fillId="3" borderId="4" xfId="0" applyNumberFormat="1" applyFont="1" applyFill="1" applyBorder="1" applyAlignment="1">
      <x:alignment horizontal="center"/>
    </x:xf>
    <x:xf numFmtId="208" fontId="46" fillId="3" borderId="2" xfId="0" applyNumberFormat="1" applyFont="1" applyFill="1" applyBorder="1" applyAlignment="1">
      <x:alignment horizontal="center"/>
    </x:xf>
    <x:xf numFmtId="208" fontId="46" fillId="3" borderId="3" xfId="0" applyNumberFormat="1" applyFont="1" applyFill="1" applyBorder="1" applyAlignment="1">
      <x:alignment horizontal="center"/>
    </x:xf>
    <x:xf numFmtId="208" fontId="46" fillId="3" borderId="4" xfId="0" applyNumberFormat="1" applyFont="1" applyFill="1" applyBorder="1" applyAlignment="1">
      <x:alignment horizontal="center"/>
    </x:xf>
    <x:xf numFmtId="0" fontId="47" fillId="6" borderId="0" xfId="0" applyNumberFormat="1" applyFont="1" applyFill="1" applyBorder="1" applyAlignment="1">
      <x:alignment wrapText="1"/>
    </x:xf>
    <x:xf numFmtId="202" fontId="32" fillId="0" borderId="0" xfId="0" applyNumberFormat="1" applyFont="1" applyFill="1" applyBorder="1" applyAlignment="1">
      <x:alignment wrapText="1"/>
    </x:xf>
    <x:xf numFmtId="201" fontId="32" fillId="0" borderId="0" xfId="0" applyNumberFormat="1" applyFont="1" applyFill="1" applyBorder="1" applyAlignment="1">
      <x:alignment wrapText="1"/>
    </x:xf>
    <x:xf numFmtId="0" fontId="38" fillId="3" borderId="2" xfId="0" applyNumberFormat="1" applyFont="1" applyFill="1" applyBorder="1" applyAlignment="1">
      <x:alignment horizontal="center"/>
    </x:xf>
    <x:xf numFmtId="0" fontId="38" fillId="3" borderId="3" xfId="0" applyNumberFormat="1" applyFont="1" applyFill="1" applyBorder="1" applyAlignment="1">
      <x:alignment horizontal="center"/>
    </x:xf>
    <x:xf numFmtId="0" fontId="38" fillId="3" borderId="4" xfId="0" applyNumberFormat="1" applyFont="1" applyFill="1" applyBorder="1" applyAlignment="1">
      <x:alignment horizontal="center"/>
    </x:xf>
    <x:xf numFmtId="207" fontId="38" fillId="3" borderId="2" xfId="0" applyNumberFormat="1" applyFont="1" applyFill="1" applyBorder="1" applyAlignment="1">
      <x:alignment horizontal="center"/>
    </x:xf>
    <x:xf numFmtId="207" fontId="38" fillId="3" borderId="3" xfId="0" applyNumberFormat="1" applyFont="1" applyFill="1" applyBorder="1" applyAlignment="1">
      <x:alignment horizontal="center"/>
    </x:xf>
    <x:xf numFmtId="207" fontId="38" fillId="3" borderId="4" xfId="0" applyNumberFormat="1" applyFont="1" applyFill="1" applyBorder="1" applyAlignment="1">
      <x:alignment horizontal="center"/>
    </x:xf>
    <x:xf numFmtId="208" fontId="38" fillId="3" borderId="2" xfId="0" applyNumberFormat="1" applyFont="1" applyFill="1" applyBorder="1" applyAlignment="1">
      <x:alignment horizontal="center"/>
    </x:xf>
    <x:xf numFmtId="208" fontId="38" fillId="3" borderId="3" xfId="0" applyNumberFormat="1" applyFont="1" applyFill="1" applyBorder="1" applyAlignment="1">
      <x:alignment horizontal="center"/>
    </x:xf>
    <x:xf numFmtId="208" fontId="38" fillId="3" borderId="4" xfId="0" applyNumberFormat="1" applyFont="1" applyFill="1" applyBorder="1" applyAlignment="1">
      <x:alignment horizontal="center"/>
    </x:xf>
    <x:xf numFmtId="202" fontId="12" fillId="0" borderId="0" xfId="0" applyNumberFormat="1" applyFont="1" applyFill="1" applyBorder="1" applyAlignment="1">
      <x:alignment wrapText="1"/>
    </x:xf>
    <x:xf numFmtId="201" fontId="12" fillId="0" borderId="0" xfId="0" applyNumberFormat="1" applyFont="1" applyFill="1" applyBorder="1" applyAlignment="1">
      <x:alignment wrapText="1"/>
    </x:xf>
    <x:xf numFmtId="0" fontId="48" fillId="3" borderId="2" xfId="0" applyNumberFormat="1" applyFont="1" applyFill="1" applyBorder="1"/>
    <x:xf numFmtId="0" fontId="48" fillId="3" borderId="4" xfId="0" applyNumberFormat="1" applyFont="1" applyFill="1" applyBorder="1"/>
    <x:xf numFmtId="0" fontId="48" fillId="0" borderId="0" xfId="0" applyNumberFormat="1" applyFont="1" applyFill="1" applyBorder="1"/>
    <x:xf numFmtId="207" fontId="48" fillId="3" borderId="4" xfId="0" applyNumberFormat="1" applyFont="1" applyFill="1" applyBorder="1"/>
    <x:xf numFmtId="207" fontId="48" fillId="0" borderId="0" xfId="0" applyNumberFormat="1" applyFont="1" applyFill="1" applyBorder="1"/>
    <x:xf numFmtId="207" fontId="48" fillId="3" borderId="2" xfId="0" applyNumberFormat="1" applyFont="1" applyFill="1" applyBorder="1"/>
    <x:xf numFmtId="209" fontId="33" fillId="7" borderId="1" xfId="0" applyNumberFormat="1" applyFont="1" applyFill="1" applyBorder="1" applyAlignment="1">
      <x:alignment horizontal="center" vertical="center" wrapText="1"/>
    </x:xf>
    <x:xf numFmtId="203" fontId="32" fillId="0" borderId="0" xfId="0" applyNumberFormat="1" applyFont="1" applyFill="1" applyBorder="1"/>
    <x:xf numFmtId="208" fontId="32" fillId="0" borderId="0" xfId="0" applyNumberFormat="1" applyFont="1" applyFill="1" applyBorder="1"/>
    <x:xf numFmtId="0" fontId="49" fillId="9" borderId="0" xfId="0" applyNumberFormat="1" applyFont="1" applyFill="1" applyBorder="1" applyAlignment="1">
      <x:alignment vertical="center" wrapText="1"/>
    </x:xf>
    <x:xf numFmtId="0" fontId="38" fillId="3" borderId="2" xfId="0" applyNumberFormat="1" applyFont="1" applyFill="1" applyBorder="1"/>
    <x:xf numFmtId="0" fontId="38" fillId="3" borderId="4" xfId="0" applyNumberFormat="1" applyFont="1" applyFill="1" applyBorder="1"/>
    <x:xf numFmtId="0" fontId="38" fillId="0" borderId="0" xfId="0" applyNumberFormat="1" applyFont="1" applyFill="1" applyBorder="1"/>
    <x:xf numFmtId="207" fontId="38" fillId="3" borderId="4" xfId="0" applyNumberFormat="1" applyFont="1" applyFill="1" applyBorder="1"/>
    <x:xf numFmtId="207" fontId="38" fillId="0" borderId="0" xfId="0" applyNumberFormat="1" applyFont="1" applyFill="1" applyBorder="1"/>
    <x:xf numFmtId="207" fontId="38" fillId="3" borderId="2" xfId="0" applyNumberFormat="1" applyFont="1" applyFill="1" applyBorder="1"/>
    <x:xf numFmtId="209" fontId="9" fillId="7" borderId="1" xfId="0" applyNumberFormat="1" applyFont="1" applyFill="1" applyBorder="1" applyAlignment="1">
      <x:alignment horizontal="center" vertical="center" wrapText="1"/>
    </x:xf>
    <x:xf numFmtId="203" fontId="12" fillId="0" borderId="0" xfId="0" applyNumberFormat="1" applyFont="1" applyFill="1" applyBorder="1"/>
    <x:xf numFmtId="208" fontId="12" fillId="0" borderId="0" xfId="0" applyNumberFormat="1" applyFont="1" applyFill="1" applyBorder="1"/>
    <x:xf numFmtId="0" fontId="50" fillId="9" borderId="0" xfId="0" applyNumberFormat="1" applyFont="1" applyFill="1" applyBorder="1" applyAlignment="1">
      <x:alignment vertical="center" wrapText="1"/>
    </x:xf>
    <x:xf numFmtId="0" fontId="51" fillId="2" borderId="0" xfId="0" applyNumberFormat="1" applyFont="1" applyFill="1" applyBorder="1" applyAlignment="1">
      <x:alignment horizontal="center"/>
    </x:xf>
    <x:xf numFmtId="200" fontId="32" fillId="0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horizontal="center"/>
    </x:xf>
    <x:xf numFmtId="200" fontId="12" fillId="0" borderId="0" xfId="0" applyNumberFormat="1" applyFont="1" applyFill="1" applyBorder="1" applyAlignment="1">
      <x:alignment wrapText="1"/>
    </x:xf>
    <x:xf numFmtId="0" fontId="32" fillId="0" borderId="0" xfId="0" applyNumberFormat="1" applyFont="1" applyFill="1" applyBorder="1" applyAlignment="1">
      <x:alignment vertical="top" wrapText="1"/>
    </x:xf>
    <x:xf numFmtId="0" fontId="52" fillId="8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top" wrapText="1"/>
    </x:xf>
    <x:xf numFmtId="0" fontId="53" fillId="8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color rgb="FFC00000"/>
      </x:font>
    </x:dxf>
    <x:dxf>
      <x:font>
        <x:b/>
        <x:color rgb="FF2E7D32"/>
      </x:font>
    </x:dxf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color rgb="FF2E7D32"/>
      </x:font>
      <x:fill>
        <x:patternFill patternType="solid">
          <x:bgColor rgb="FFE2F0D9"/>
        </x:patternFill>
      </x:fill>
    </x:dxf>
    <x:dxf>
      <x:font>
        <x:color rgb="FFC58A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a615a0bd10423e" /><Relationship Type="http://schemas.openxmlformats.org/officeDocument/2006/relationships/theme" Target="/xl/theme/theme1.xml" Id="R76396505b9cf4cfc" /><Relationship Type="http://schemas.openxmlformats.org/officeDocument/2006/relationships/sharedStrings" Target="/xl/sharedStrings.xml" Id="R3adb3998ee644571" /><Relationship Type="http://schemas.openxmlformats.org/officeDocument/2006/relationships/worksheet" Target="/xl/worksheets/sheet1.xml" Id="Radedb217a7514582" /><Relationship Type="http://schemas.openxmlformats.org/officeDocument/2006/relationships/worksheet" Target="/xl/worksheets/sheet2.xml" Id="R7ff75b533fbb41e9" /><Relationship Type="http://schemas.openxmlformats.org/officeDocument/2006/relationships/worksheet" Target="/xl/worksheets/sheet3.xml" Id="R5b75d9d40af74280" /><Relationship Type="http://schemas.openxmlformats.org/officeDocument/2006/relationships/worksheet" Target="/xl/worksheets/sheet4.xml" Id="R87b4d0cf436d4f3b" /><Relationship Type="http://schemas.openxmlformats.org/officeDocument/2006/relationships/worksheet" Target="/xl/worksheets/sheet5.xml" Id="R6463453a02c0427e" /><Relationship Type="http://schemas.openxmlformats.org/officeDocument/2006/relationships/worksheet" Target="/xl/worksheets/sheet6.xml" Id="Re7c74cc5cf974362" /><Relationship Type="http://schemas.openxmlformats.org/officeDocument/2006/relationships/worksheet" Target="/xl/worksheets/sheet7.xml" Id="Rfbd5dd0cfaf240b5" /><Relationship Type="http://schemas.microsoft.com/office/2017/10/relationships/person" Target="/xl/persons/person.xml" Id="R436d1890d49e446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8934c9a74cb40a0" /><Relationship Type="http://schemas.openxmlformats.org/officeDocument/2006/relationships/chart" Target="/xl/drawings/charts/chart2.xml" Id="R5a47bae3bcb9423b" /><Relationship Type="http://schemas.openxmlformats.org/officeDocument/2006/relationships/chart" Target="/xl/drawings/charts/chart3.xml" Id="R1d5bf280ab524d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Годовые затраты: без системы и с системой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Студенты</c:v>
          </c:tx>
          <c:cat>
            <c:strRef>
              <c:f>'Резюме'!$A$12:$A$13</c:f>
              <c:strCache>
                <c:ptCount val="0"/>
              </c:strCache>
            </c:strRef>
          </c:cat>
          <c:val>
            <c:numRef>
              <c:f>'Резюме'!$B$12:$B$13</c:f>
              <c:numCache>
                <c:formatCode>0.0,, "млн ₽"</c:formatCode>
                <c:ptCount val="0"/>
              </c:numCache>
            </c:numRef>
          </c:val>
        </c:ser>
        <c:ser>
          <c:idx val="1"/>
          <c:order val="1"/>
          <c:tx>
            <c:v>НПЗ / МС</c:v>
          </c:tx>
          <c:cat>
            <c:strRef>
              <c:f>'Резюме'!$A$12:$A$13</c:f>
              <c:strCache>
                <c:ptCount val="0"/>
              </c:strCache>
            </c:strRef>
          </c:cat>
          <c:val>
            <c:numRef>
              <c:f>'Резюме'!$C$12:$C$13</c:f>
              <c:numCache>
                <c:formatCode>0.0,, "млн ₽"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,, &quot;млн ₽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Из чего складывается годовой эффект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Студенты</c:v>
          </c:tx>
          <c:cat>
            <c:strRef>
              <c:f>'Резюме'!$A$19:$A$21</c:f>
              <c:strCache>
                <c:ptCount val="0"/>
              </c:strCache>
            </c:strRef>
          </c:cat>
          <c:val>
            <c:numRef>
              <c:f>'Резюме'!$B$19:$B$21</c:f>
              <c:numCache>
                <c:formatCode>0.0,, "млн ₽"</c:formatCode>
                <c:ptCount val="0"/>
              </c:numCache>
            </c:numRef>
          </c:val>
        </c:ser>
        <c:ser>
          <c:idx val="1"/>
          <c:order val="1"/>
          <c:tx>
            <c:v>НПЗ / МС</c:v>
          </c:tx>
          <c:cat>
            <c:strRef>
              <c:f>'Резюме'!$A$19:$A$21</c:f>
              <c:strCache>
                <c:ptCount val="0"/>
              </c:strCache>
            </c:strRef>
          </c:cat>
          <c:val>
            <c:numRef>
              <c:f>'Резюме'!$C$19:$C$21</c:f>
              <c:numCache>
                <c:formatCode>0.0,, "млн ₽"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,, &quot;млн ₽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Точка пересечения затрат и выгод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Накопленные затраты</c:v>
          </c:tx>
          <c:spPr>
            <a:ln xmlns:a="http://schemas.openxmlformats.org/drawingml/2006/main" w="23813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'Денежный поток'!$A$10:$A$46</c:f>
              <c:strCache>
                <c:ptCount val="0"/>
              </c:strCache>
            </c:strRef>
          </c:cat>
          <c:val>
            <c:numRef>
              <c:f>'Денежный поток'!$L$10:$L$46</c:f>
              <c:numCache>
                <c:formatCode>0.0,, "млн ₽"</c:formatCode>
                <c:ptCount val="0"/>
              </c:numCache>
            </c:numRef>
          </c:val>
          <c:smooth val="0"/>
        </c:ser>
        <c:ser>
          <c:idx val="1"/>
          <c:order val="1"/>
          <c:tx>
            <c:v>Накопленные выгоды</c:v>
          </c:tx>
          <c:spPr>
            <a:ln xmlns:a="http://schemas.openxmlformats.org/drawingml/2006/main" w="23813">
              <a:solidFill>
                <a:srgbClr val="2E7D32"/>
              </a:solidFill>
            </a:ln>
          </c:spPr>
          <c:marker>
            <c:symbol val="none"/>
          </c:marker>
          <c:cat>
            <c:strRef>
              <c:f>'Денежный поток'!$A$10:$A$46</c:f>
              <c:strCache>
                <c:ptCount val="0"/>
              </c:strCache>
            </c:strRef>
          </c:cat>
          <c:val>
            <c:numRef>
              <c:f>'Денежный поток'!$M$10:$M$46</c:f>
              <c:numCache>
                <c:formatCode>0.0,, "млн ₽"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,, &quot;млн ₽&quot;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10</xdr:row>
      <xdr:rowOff>0</xdr:rowOff>
    </xdr:from>
    <xdr:to>
      <xdr:col>12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934c9a74cb40a0"/>
        </a:graphicData>
      </a:graphic>
    </xdr:graphicFrame>
    <xdr:clientData/>
  </xdr:twoCellAnchor>
  <xdr:twoCellAnchor>
    <xdr:from>
      <xdr:col>4</xdr:col>
      <xdr:colOff>0</xdr:colOff>
      <xdr:row>23</xdr:row>
      <xdr:rowOff>0</xdr:rowOff>
    </xdr:from>
    <xdr:to>
      <xdr:col>12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47bae3bcb9423b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12</xdr:col>
      <xdr:colOff>0</xdr:colOff>
      <xdr:row>57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5bf280ab524d47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Пользователь" id="{1D89CF0E-0CE9-40A0-AB6C-1AC2E6A4B327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f2b2dbf11bd1405e" /></Relationships>
</file>

<file path=xl/worksheets/sheet1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4" hidden="0" customWidth="1"/>
    <x:col min="3" max="3" width="16" hidden="0" customWidth="1"/>
    <x:col min="4" max="4" width="14" hidden="0" customWidth="1"/>
    <x:col min="5" max="5" width="24" hidden="0" customWidth="1"/>
    <x:col min="6" max="6" width="42" hidden="0" customWidth="1"/>
    <x:col min="7" max="7" width="13" hidden="0" customWidth="1"/>
    <x:col min="8" max="8" width="13" hidden="0" customWidth="1"/>
  </x:cols>
  <x:sheetData>
    <x:row r="1" ht="24" customHeight="1">
      <x:c r="A1" s="53" t="str">
        <x:v>Экономическая модель платформы «Диспетчер»</x:v>
      </x:c>
      <x:c r="B1" s="53"/>
      <x:c r="C1" s="53"/>
      <x:c r="D1" s="53"/>
      <x:c r="E1" s="53"/>
      <x:c r="F1" s="53"/>
      <x:c r="G1" s="53"/>
      <x:c r="H1" s="53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 ht="24" customHeight="1">
      <x:c r="A2" s="53"/>
      <x:c r="B2" s="53"/>
      <x:c r="C2" s="53"/>
      <x:c r="D2" s="53"/>
      <x:c r="E2" s="53"/>
      <x:c r="F2" s="53"/>
      <x:c r="G2" s="53"/>
      <x:c r="H2" s="53"/>
      <x:c r="I2" s="57"/>
      <x:c r="J2" s="57"/>
      <x:c r="K2" s="57"/>
      <x:c r="L2" s="57"/>
      <x:c r="M2" s="57"/>
      <x:c r="N2" s="57"/>
      <x:c r="O2" s="57"/>
      <x:c r="P2" s="57"/>
      <x:c r="Q2" s="57"/>
      <x:c r="R2" s="57"/>
      <x:c r="S2" s="57"/>
      <x:c r="T2" s="57"/>
      <x:c r="U2" s="57"/>
      <x:c r="V2" s="57"/>
      <x:c r="W2" s="57"/>
      <x:c r="X2" s="57"/>
      <x:c r="Y2" s="57"/>
      <x:c r="Z2" s="57"/>
    </x:row>
    <x:row r="3" ht="24" customHeight="1">
      <x:c r="A3" s="54" t="str">
        <x:v>Все желтые ячейки — изменяемые допущения. Синим шрифтом выделены входные данные.</x:v>
      </x:c>
      <x:c r="B3" s="54"/>
      <x:c r="C3" s="54"/>
      <x:c r="D3" s="54"/>
      <x:c r="E3" s="54"/>
      <x:c r="F3" s="54"/>
      <x:c r="G3" s="54"/>
      <x:c r="H3" s="54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</x:row>
    <x:row r="4">
      <x:c r="A4" s="55" t="str">
        <x:v>Активный сценарий</x:v>
      </x:c>
      <x:c r="B4" s="55"/>
      <x:c r="C4" s="56" t="str">
        <x:v>Студенты</x:v>
      </x:c>
      <x:c r="D4" s="57"/>
      <x:c r="E4" s="58" t="str">
        <x:v>Назначение: учебная оценка эффекта, бюджета, ROI и срока окупаемости</x:v>
      </x:c>
      <x:c r="F4" s="58"/>
      <x:c r="G4" s="58"/>
      <x:c r="H4" s="58"/>
      <x:c r="I4" s="57"/>
      <x:c r="J4" s="57"/>
      <x:c r="K4" s="57"/>
      <x:c r="L4" s="57"/>
      <x:c r="M4" s="57"/>
      <x:c r="N4" s="57"/>
      <x:c r="O4" s="57"/>
      <x:c r="P4" s="57"/>
      <x:c r="Q4" s="57"/>
      <x:c r="R4" s="57"/>
      <x:c r="S4" s="57"/>
      <x:c r="T4" s="57"/>
      <x:c r="U4" s="57"/>
      <x:c r="V4" s="57"/>
      <x:c r="W4" s="57"/>
      <x:c r="X4" s="57"/>
      <x:c r="Y4" s="57"/>
      <x:c r="Z4" s="57"/>
    </x:row>
    <x:row r="5">
      <x:c r="A5" s="57"/>
      <x:c r="B5" s="57"/>
      <x:c r="C5" s="57"/>
      <x:c r="D5" s="57"/>
      <x:c r="E5" s="57"/>
      <x:c r="F5" s="57"/>
      <x:c r="G5" s="57"/>
      <x:c r="H5" s="57"/>
      <x:c r="I5" s="57"/>
      <x:c r="J5" s="57"/>
      <x:c r="K5" s="57"/>
      <x:c r="L5" s="57"/>
      <x:c r="M5" s="57"/>
      <x:c r="N5" s="57"/>
      <x:c r="O5" s="57"/>
      <x:c r="P5" s="57"/>
      <x:c r="Q5" s="57"/>
      <x:c r="R5" s="57"/>
      <x:c r="S5" s="57"/>
      <x:c r="T5" s="57"/>
      <x:c r="U5" s="57"/>
      <x:c r="V5" s="57"/>
      <x:c r="W5" s="57"/>
      <x:c r="X5" s="57"/>
      <x:c r="Y5" s="57"/>
      <x:c r="Z5" s="57"/>
    </x:row>
    <x:row r="6">
      <x:c r="A6" s="59" t="str">
        <x:v>Общие параметры проекта и стоимости</x:v>
      </x:c>
      <x:c r="B6" s="59"/>
      <x:c r="C6" s="59"/>
      <x:c r="D6" s="59"/>
      <x:c r="E6" s="59"/>
      <x:c r="F6" s="59"/>
      <x:c r="G6" s="59"/>
      <x:c r="H6" s="59"/>
      <x:c r="I6" s="57"/>
      <x:c r="J6" s="57"/>
      <x:c r="K6" s="57"/>
      <x:c r="L6" s="57"/>
      <x:c r="M6" s="57"/>
      <x:c r="N6" s="57"/>
      <x:c r="O6" s="57"/>
      <x:c r="P6" s="57"/>
      <x:c r="Q6" s="57"/>
      <x:c r="R6" s="57"/>
      <x:c r="S6" s="57"/>
      <x:c r="T6" s="57"/>
      <x:c r="U6" s="57"/>
      <x:c r="V6" s="57"/>
      <x:c r="W6" s="57"/>
      <x:c r="X6" s="57"/>
      <x:c r="Y6" s="57"/>
      <x:c r="Z6" s="57"/>
    </x:row>
    <x:row r="7">
      <x:c r="A7" s="60" t="str">
        <x:v>Параметр</x:v>
      </x:c>
      <x:c r="B7" s="60" t="str">
        <x:v>Ед. изм.</x:v>
      </x:c>
      <x:c r="C7" s="60" t="str">
        <x:v>Значение</x:v>
      </x:c>
      <x:c r="D7" s="60" t="str">
        <x:v>Тип</x:v>
      </x:c>
      <x:c r="E7" s="60" t="str">
        <x:v>Основание</x:v>
      </x:c>
      <x:c r="F7" s="60" t="str">
        <x:v>Комментарий</x:v>
      </x:c>
      <x:c r="G7" s="60" t="str">
        <x:v>Мин.</x:v>
      </x:c>
      <x:c r="H7" s="60" t="str">
        <x:v>Макс.</x:v>
      </x:c>
      <x:c r="I7" s="57"/>
      <x:c r="J7" s="57"/>
      <x:c r="K7" s="57"/>
      <x:c r="L7" s="57"/>
      <x:c r="M7" s="57"/>
      <x:c r="N7" s="57"/>
      <x:c r="O7" s="57"/>
      <x:c r="P7" s="57"/>
      <x:c r="Q7" s="57"/>
      <x:c r="R7" s="57"/>
      <x:c r="S7" s="57"/>
      <x:c r="T7" s="57"/>
      <x:c r="U7" s="57"/>
      <x:c r="V7" s="57"/>
      <x:c r="W7" s="57"/>
      <x:c r="X7" s="57"/>
      <x:c r="Y7" s="57"/>
      <x:c r="Z7" s="57"/>
    </x:row>
    <x:row r="8">
      <x:c r="A8" s="61" t="str">
        <x:v>Рабочих дней в году</x:v>
      </x:c>
      <x:c r="B8" s="61" t="str">
        <x:v>дней</x:v>
      </x:c>
      <x:c r="C8" s="62" t="n">
        <x:v>365</x:v>
      </x:c>
      <x:c r="D8" s="61" t="str">
        <x:v>Вход</x:v>
      </x:c>
      <x:c r="E8" s="61" t="str">
        <x:v>Календарное допущение</x:v>
      </x:c>
      <x:c r="F8" s="61" t="str">
        <x:v>Для годового пересчета ежедневной трудоемкости</x:v>
      </x:c>
      <x:c r="G8" s="63" t="n">
        <x:v>250</x:v>
      </x:c>
      <x:c r="H8" s="63" t="n">
        <x:v>366</x:v>
      </x:c>
      <x:c r="I8" s="57"/>
      <x:c r="J8" s="57"/>
      <x:c r="K8" s="57"/>
      <x:c r="L8" s="57"/>
      <x:c r="M8" s="57"/>
      <x:c r="N8" s="57"/>
      <x:c r="O8" s="57"/>
      <x:c r="P8" s="57"/>
      <x:c r="Q8" s="57"/>
      <x:c r="R8" s="57"/>
      <x:c r="S8" s="57"/>
      <x:c r="T8" s="57"/>
      <x:c r="U8" s="57"/>
      <x:c r="V8" s="57"/>
      <x:c r="W8" s="57"/>
      <x:c r="X8" s="57"/>
      <x:c r="Y8" s="57"/>
      <x:c r="Z8" s="57"/>
    </x:row>
    <x:row r="9">
      <x:c r="A9" s="61" t="str">
        <x:v>Ставка поддержки / оператора</x:v>
      </x:c>
      <x:c r="B9" s="61" t="str">
        <x:v>₽/ч</x:v>
      </x:c>
      <x:c r="C9" s="64" t="n">
        <x:v>2000</x:v>
      </x:c>
      <x:c r="D9" s="61" t="str">
        <x:v>Вход</x:v>
      </x:c>
      <x:c r="E9" s="61" t="str">
        <x:v>Условие задачи</x:v>
      </x:c>
      <x:c r="F9" s="61" t="str">
        <x:v>Используется только в эффекте сокращения трудозатрат</x:v>
      </x:c>
      <x:c r="G9" s="63" t="n">
        <x:v>0</x:v>
      </x:c>
      <x:c r="H9" s="63" t="n">
        <x:v>10000</x:v>
      </x:c>
      <x:c r="I9" s="57"/>
      <x:c r="J9" s="57"/>
      <x:c r="K9" s="57"/>
      <x:c r="L9" s="57"/>
      <x:c r="M9" s="57"/>
      <x:c r="N9" s="57"/>
      <x:c r="O9" s="57"/>
      <x:c r="P9" s="57"/>
      <x:c r="Q9" s="57"/>
      <x:c r="R9" s="57"/>
      <x:c r="S9" s="57"/>
      <x:c r="T9" s="57"/>
      <x:c r="U9" s="57"/>
      <x:c r="V9" s="57"/>
      <x:c r="W9" s="57"/>
      <x:c r="X9" s="57"/>
      <x:c r="Y9" s="57"/>
      <x:c r="Z9" s="57"/>
    </x:row>
    <x:row r="10">
      <x:c r="A10" s="61" t="str">
        <x:v>Ставка участника проектной команды</x:v>
      </x:c>
      <x:c r="B10" s="61" t="str">
        <x:v>₽/ч</x:v>
      </x:c>
      <x:c r="C10" s="64" t="n">
        <x:v>3500</x:v>
      </x:c>
      <x:c r="D10" s="61" t="str">
        <x:v>Вход</x:v>
      </x:c>
      <x:c r="E10" s="61" t="str">
        <x:v>Условие задачи</x:v>
      </x:c>
      <x:c r="F10" s="61" t="str">
        <x:v>Используется в бюджете проекта и подключении новых источников</x:v>
      </x:c>
      <x:c r="G10" s="63" t="n">
        <x:v>0</x:v>
      </x:c>
      <x:c r="H10" s="63" t="n">
        <x:v>10000</x:v>
      </x:c>
      <x:c r="I10" s="57"/>
      <x:c r="J10" s="57"/>
      <x:c r="K10" s="57"/>
      <x:c r="L10" s="57"/>
      <x:c r="M10" s="57"/>
      <x:c r="N10" s="57"/>
      <x:c r="O10" s="57"/>
      <x:c r="P10" s="57"/>
      <x:c r="Q10" s="57"/>
      <x:c r="R10" s="57"/>
      <x:c r="S10" s="57"/>
      <x:c r="T10" s="57"/>
      <x:c r="U10" s="57"/>
      <x:c r="V10" s="57"/>
      <x:c r="W10" s="57"/>
      <x:c r="X10" s="57"/>
      <x:c r="Y10" s="57"/>
      <x:c r="Z10" s="57"/>
    </x:row>
    <x:row r="11">
      <x:c r="A11" s="61" t="str">
        <x:v>Численность проектной команды</x:v>
      </x:c>
      <x:c r="B11" s="61" t="str">
        <x:v>чел.</x:v>
      </x:c>
      <x:c r="C11" s="62" t="n">
        <x:v>5</x:v>
      </x:c>
      <x:c r="D11" s="61" t="str">
        <x:v>Допущение</x:v>
      </x:c>
      <x:c r="E11" s="61" t="str">
        <x:v>Проектная оценка</x:v>
      </x:c>
      <x:c r="F11" s="61" t="str">
        <x:v>Архитектор, backend, frontend, DevOps, аналитик / QA</x:v>
      </x:c>
      <x:c r="G11" s="63" t="n">
        <x:v>4</x:v>
      </x:c>
      <x:c r="H11" s="63" t="n">
        <x:v>6</x:v>
      </x:c>
      <x:c r="I11" s="57"/>
      <x:c r="J11" s="57"/>
      <x:c r="K11" s="57"/>
      <x:c r="L11" s="57"/>
      <x:c r="M11" s="57"/>
      <x:c r="N11" s="57"/>
      <x:c r="O11" s="57"/>
      <x:c r="P11" s="57"/>
      <x:c r="Q11" s="57"/>
      <x:c r="R11" s="57"/>
      <x:c r="S11" s="57"/>
      <x:c r="T11" s="57"/>
      <x:c r="U11" s="57"/>
      <x:c r="V11" s="57"/>
      <x:c r="W11" s="57"/>
      <x:c r="X11" s="57"/>
      <x:c r="Y11" s="57"/>
      <x:c r="Z11" s="57"/>
    </x:row>
    <x:row r="12">
      <x:c r="A12" s="61" t="str">
        <x:v>Длительность проекта</x:v>
      </x:c>
      <x:c r="B12" s="61" t="str">
        <x:v>мес.</x:v>
      </x:c>
      <x:c r="C12" s="62" t="n">
        <x:v>6</x:v>
      </x:c>
      <x:c r="D12" s="61" t="str">
        <x:v>Допущение</x:v>
      </x:c>
      <x:c r="E12" s="61" t="str">
        <x:v>Проектная спецификация</x:v>
      </x:c>
      <x:c r="F12" s="61" t="str">
        <x:v>Пилот и ввод в промышленную эксплуатацию</x:v>
      </x:c>
      <x:c r="G12" s="63" t="n">
        <x:v>4</x:v>
      </x:c>
      <x:c r="H12" s="63" t="n">
        <x:v>9</x:v>
      </x:c>
      <x:c r="I12" s="57"/>
      <x:c r="J12" s="57"/>
      <x:c r="K12" s="57"/>
      <x:c r="L12" s="57"/>
      <x:c r="M12" s="57"/>
      <x:c r="N12" s="57"/>
      <x:c r="O12" s="57"/>
      <x:c r="P12" s="57"/>
      <x:c r="Q12" s="57"/>
      <x:c r="R12" s="57"/>
      <x:c r="S12" s="57"/>
      <x:c r="T12" s="57"/>
      <x:c r="U12" s="57"/>
      <x:c r="V12" s="57"/>
      <x:c r="W12" s="57"/>
      <x:c r="X12" s="57"/>
      <x:c r="Y12" s="57"/>
      <x:c r="Z12" s="57"/>
    </x:row>
    <x:row r="13">
      <x:c r="A13" s="61" t="str">
        <x:v>Загрузка участника команды</x:v>
      </x:c>
      <x:c r="B13" s="61" t="str">
        <x:v>ч/мес.</x:v>
      </x:c>
      <x:c r="C13" s="62" t="n">
        <x:v>160</x:v>
      </x:c>
      <x:c r="D13" s="61" t="str">
        <x:v>Допущение</x:v>
      </x:c>
      <x:c r="E13" s="61" t="str">
        <x:v>Проектная оценка</x:v>
      </x:c>
      <x:c r="F13" s="61" t="str">
        <x:v>Полная месячная загрузка</x:v>
      </x:c>
      <x:c r="G13" s="63" t="n">
        <x:v>80</x:v>
      </x:c>
      <x:c r="H13" s="63" t="n">
        <x:v>168</x:v>
      </x:c>
      <x:c r="I13" s="57"/>
      <x:c r="J13" s="57"/>
      <x:c r="K13" s="57"/>
      <x:c r="L13" s="57"/>
      <x:c r="M13" s="57"/>
      <x:c r="N13" s="57"/>
      <x:c r="O13" s="57"/>
      <x:c r="P13" s="57"/>
      <x:c r="Q13" s="57"/>
      <x:c r="R13" s="57"/>
      <x:c r="S13" s="57"/>
      <x:c r="T13" s="57"/>
      <x:c r="U13" s="57"/>
      <x:c r="V13" s="57"/>
      <x:c r="W13" s="57"/>
      <x:c r="X13" s="57"/>
      <x:c r="Y13" s="57"/>
      <x:c r="Z13" s="57"/>
    </x:row>
    <x:row r="14">
      <x:c r="A14" s="61" t="str">
        <x:v>Инфраструктура</x:v>
      </x:c>
      <x:c r="B14" s="61" t="str">
        <x:v>₽</x:v>
      </x:c>
      <x:c r="C14" s="64" t="n">
        <x:v>1750000</x:v>
      </x:c>
      <x:c r="D14" s="61" t="str">
        <x:v>Допущение</x:v>
      </x:c>
      <x:c r="E14" s="61" t="str">
        <x:v>Диапазон 1,5–2,0 млн ₽</x:v>
      </x:c>
      <x:c r="F14" s="61" t="str">
        <x:v>Серверы, сеть, хранилище и резервирование</x:v>
      </x:c>
      <x:c r="G14" s="63" t="n">
        <x:v>1500000</x:v>
      </x:c>
      <x:c r="H14" s="63" t="n">
        <x:v>2000000</x:v>
      </x:c>
      <x:c r="I14" s="57"/>
      <x:c r="J14" s="57"/>
      <x:c r="K14" s="57"/>
      <x:c r="L14" s="57"/>
      <x:c r="M14" s="57"/>
      <x:c r="N14" s="57"/>
      <x:c r="O14" s="57"/>
      <x:c r="P14" s="57"/>
      <x:c r="Q14" s="57"/>
      <x:c r="R14" s="57"/>
      <x:c r="S14" s="57"/>
      <x:c r="T14" s="57"/>
      <x:c r="U14" s="57"/>
      <x:c r="V14" s="57"/>
      <x:c r="W14" s="57"/>
      <x:c r="X14" s="57"/>
      <x:c r="Y14" s="57"/>
      <x:c r="Z14" s="57"/>
    </x:row>
    <x:row r="15">
      <x:c r="A15" s="61" t="str">
        <x:v>GPU-оборудование исходной сметы</x:v>
      </x:c>
      <x:c r="B15" s="61" t="str">
        <x:v>₽</x:v>
      </x:c>
      <x:c r="C15" s="64" t="n">
        <x:v>400000</x:v>
      </x:c>
      <x:c r="D15" s="61" t="str">
        <x:v>Допущение</x:v>
      </x:c>
      <x:c r="E15" s="61" t="str">
        <x:v>Материалы кейса</x:v>
      </x:c>
      <x:c r="F15" s="61" t="str">
        <x:v>Два GPU-сервера</x:v>
      </x:c>
      <x:c r="G15" s="63" t="n">
        <x:v>0</x:v>
      </x:c>
      <x:c r="H15" s="63" t="n">
        <x:v>400000</x:v>
      </x:c>
      <x:c r="I15" s="57"/>
      <x:c r="J15" s="57"/>
      <x:c r="K15" s="57"/>
      <x:c r="L15" s="57"/>
      <x:c r="M15" s="57"/>
      <x:c r="N15" s="57"/>
      <x:c r="O15" s="57"/>
      <x:c r="P15" s="57"/>
      <x:c r="Q15" s="57"/>
      <x:c r="R15" s="57"/>
      <x:c r="S15" s="57"/>
      <x:c r="T15" s="57"/>
      <x:c r="U15" s="57"/>
      <x:c r="V15" s="57"/>
      <x:c r="W15" s="57"/>
      <x:c r="X15" s="57"/>
      <x:c r="Y15" s="57"/>
      <x:c r="Z15" s="57"/>
    </x:row>
    <x:row r="16">
      <x:c r="A16" s="61" t="str">
        <x:v>Оптимизация GPU-сметы</x:v>
      </x:c>
      <x:c r="B16" s="61" t="str">
        <x:v>₽</x:v>
      </x:c>
      <x:c r="C16" s="64" t="n">
        <x:v>200000</x:v>
      </x:c>
      <x:c r="D16" s="61" t="str">
        <x:v>Допущение</x:v>
      </x:c>
      <x:c r="E16" s="61" t="str">
        <x:v>Техническая оптимизация</x:v>
      </x:c>
      <x:c r="F16" s="61" t="str">
        <x:v>Исключение второго GPU-сервера без потери функций</x:v>
      </x:c>
      <x:c r="G16" s="63" t="n">
        <x:v>0</x:v>
      </x:c>
      <x:c r="H16" s="63" t="n">
        <x:v>400000</x:v>
      </x:c>
      <x:c r="I16" s="57"/>
      <x:c r="J16" s="57"/>
      <x:c r="K16" s="57"/>
      <x:c r="L16" s="57"/>
      <x:c r="M16" s="57"/>
      <x:c r="N16" s="57"/>
      <x:c r="O16" s="57"/>
      <x:c r="P16" s="57"/>
      <x:c r="Q16" s="57"/>
      <x:c r="R16" s="57"/>
      <x:c r="S16" s="57"/>
      <x:c r="T16" s="57"/>
      <x:c r="U16" s="57"/>
      <x:c r="V16" s="57"/>
      <x:c r="W16" s="57"/>
      <x:c r="X16" s="57"/>
      <x:c r="Y16" s="57"/>
      <x:c r="Z16" s="57"/>
    </x:row>
    <x:row r="17">
      <x:c r="A17" s="61" t="str">
        <x:v>GPU после оптимизации</x:v>
      </x:c>
      <x:c r="B17" s="61" t="str">
        <x:v>₽</x:v>
      </x:c>
      <x:c r="C17" s="65" t="n">
        <x:f>MAX(0,C15-C16)</x:f>
        <x:v>200000</x:v>
      </x:c>
      <x:c r="D17" s="61" t="str">
        <x:v>Формула</x:v>
      </x:c>
      <x:c r="E17" s="61" t="str">
        <x:v>Расчет</x:v>
      </x:c>
      <x:c r="F17" s="61" t="str">
        <x:v>Исходная смета минус оптимизация</x:v>
      </x:c>
      <x:c r="G17" s="63" t="n">
        <x:v>0</x:v>
      </x:c>
      <x:c r="H17" s="63" t="n">
        <x:v>400000</x:v>
      </x:c>
      <x:c r="I17" s="57"/>
      <x:c r="J17" s="57"/>
      <x:c r="K17" s="57"/>
      <x:c r="L17" s="57"/>
      <x:c r="M17" s="57"/>
      <x:c r="N17" s="57"/>
      <x:c r="O17" s="57"/>
      <x:c r="P17" s="57"/>
      <x:c r="Q17" s="57"/>
      <x:c r="R17" s="57"/>
      <x:c r="S17" s="57"/>
      <x:c r="T17" s="57"/>
      <x:c r="U17" s="57"/>
      <x:c r="V17" s="57"/>
      <x:c r="W17" s="57"/>
      <x:c r="X17" s="57"/>
      <x:c r="Y17" s="57"/>
      <x:c r="Z17" s="57"/>
    </x:row>
    <x:row r="18">
      <x:c r="A18" s="61" t="str">
        <x:v>Учитывать GPU в проекте</x:v>
      </x:c>
      <x:c r="B18" s="61" t="str">
        <x:v>0 / 1</x:v>
      </x:c>
      <x:c r="C18" s="62" t="n">
        <x:v>1</x:v>
      </x:c>
      <x:c r="D18" s="61" t="str">
        <x:v>Переключатель</x:v>
      </x:c>
      <x:c r="E18" s="61" t="str">
        <x:v>Проектное решение</x:v>
      </x:c>
      <x:c r="F18" s="61" t="str">
        <x:v>1 — включить; 0 — использовать имеющиеся мощности</x:v>
      </x:c>
      <x:c r="G18" s="63" t="n">
        <x:v>0</x:v>
      </x:c>
      <x:c r="H18" s="63" t="n">
        <x:v>1</x:v>
      </x:c>
      <x:c r="I18" s="57"/>
      <x:c r="J18" s="57"/>
      <x:c r="K18" s="57"/>
      <x:c r="L18" s="57"/>
      <x:c r="M18" s="57"/>
      <x:c r="N18" s="57"/>
      <x:c r="O18" s="57"/>
      <x:c r="P18" s="57"/>
      <x:c r="Q18" s="57"/>
      <x:c r="R18" s="57"/>
      <x:c r="S18" s="57"/>
      <x:c r="T18" s="57"/>
      <x:c r="U18" s="57"/>
      <x:c r="V18" s="57"/>
      <x:c r="W18" s="57"/>
      <x:c r="X18" s="57"/>
      <x:c r="Y18" s="57"/>
      <x:c r="Z18" s="57"/>
    </x:row>
    <x:row r="19">
      <x:c r="A19" s="61" t="str">
        <x:v>Интеграция и обучение</x:v>
      </x:c>
      <x:c r="B19" s="61" t="str">
        <x:v>₽</x:v>
      </x:c>
      <x:c r="C19" s="64" t="n">
        <x:v>300000</x:v>
      </x:c>
      <x:c r="D19" s="61" t="str">
        <x:v>Допущение</x:v>
      </x:c>
      <x:c r="E19" s="61" t="str">
        <x:v>Проектная оценка</x:v>
      </x:c>
      <x:c r="F19" s="61" t="str">
        <x:v>Настройка, обучение пользователей, приемочные испытания</x:v>
      </x:c>
      <x:c r="G19" s="63" t="n">
        <x:v>0</x:v>
      </x:c>
      <x:c r="H19" s="63" t="n">
        <x:v>1000000</x:v>
      </x:c>
      <x:c r="I19" s="57"/>
      <x:c r="J19" s="57"/>
      <x:c r="K19" s="57"/>
      <x:c r="L19" s="57"/>
      <x:c r="M19" s="57"/>
      <x:c r="N19" s="57"/>
      <x:c r="O19" s="57"/>
      <x:c r="P19" s="57"/>
      <x:c r="Q19" s="57"/>
      <x:c r="R19" s="57"/>
      <x:c r="S19" s="57"/>
      <x:c r="T19" s="57"/>
      <x:c r="U19" s="57"/>
      <x:c r="V19" s="57"/>
      <x:c r="W19" s="57"/>
      <x:c r="X19" s="57"/>
      <x:c r="Y19" s="57"/>
      <x:c r="Z19" s="57"/>
    </x:row>
    <x:row r="20">
      <x:c r="A20" s="61" t="str">
        <x:v>Резерв бюджета</x:v>
      </x:c>
      <x:c r="B20" s="61" t="str">
        <x:v>%</x:v>
      </x:c>
      <x:c r="C20" s="66" t="n">
        <x:v>0.1</x:v>
      </x:c>
      <x:c r="D20" s="61" t="str">
        <x:v>Допущение</x:v>
      </x:c>
      <x:c r="E20" s="61" t="str">
        <x:v>Проектная оценка</x:v>
      </x:c>
      <x:c r="F20" s="61" t="str">
        <x:v>Резерв на риски и уточнение объема</x:v>
      </x:c>
      <x:c r="G20" s="63" t="n">
        <x:v>0</x:v>
      </x:c>
      <x:c r="H20" s="63" t="n">
        <x:v>0.25</x:v>
      </x:c>
      <x:c r="I20" s="57"/>
      <x:c r="J20" s="57"/>
      <x:c r="K20" s="57"/>
      <x:c r="L20" s="57"/>
      <x:c r="M20" s="57"/>
      <x:c r="N20" s="57"/>
      <x:c r="O20" s="57"/>
      <x:c r="P20" s="57"/>
      <x:c r="Q20" s="57"/>
      <x:c r="R20" s="57"/>
      <x:c r="S20" s="57"/>
      <x:c r="T20" s="57"/>
      <x:c r="U20" s="57"/>
      <x:c r="V20" s="57"/>
      <x:c r="W20" s="57"/>
      <x:c r="X20" s="57"/>
      <x:c r="Y20" s="57"/>
      <x:c r="Z20" s="57"/>
    </x:row>
    <x:row r="21">
      <x:c r="A21" s="61" t="str">
        <x:v>Сопровождение платформы</x:v>
      </x:c>
      <x:c r="B21" s="61" t="str">
        <x:v>ч/мес.</x:v>
      </x:c>
      <x:c r="C21" s="62" t="n">
        <x:v>40</x:v>
      </x:c>
      <x:c r="D21" s="61" t="str">
        <x:v>Допущение</x:v>
      </x:c>
      <x:c r="E21" s="61" t="str">
        <x:v>Проектная оценка</x:v>
      </x:c>
      <x:c r="F21" s="61" t="str">
        <x:v>Эксплуатационная поддержка после запуска</x:v>
      </x:c>
      <x:c r="G21" s="63" t="n">
        <x:v>0</x:v>
      </x:c>
      <x:c r="H21" s="63" t="n">
        <x:v>160</x:v>
      </x:c>
      <x:c r="I21" s="57"/>
      <x:c r="J21" s="57"/>
      <x:c r="K21" s="57"/>
      <x:c r="L21" s="57"/>
      <x:c r="M21" s="57"/>
      <x:c r="N21" s="57"/>
      <x:c r="O21" s="57"/>
      <x:c r="P21" s="57"/>
      <x:c r="Q21" s="57"/>
      <x:c r="R21" s="57"/>
      <x:c r="S21" s="57"/>
      <x:c r="T21" s="57"/>
      <x:c r="U21" s="57"/>
      <x:c r="V21" s="57"/>
      <x:c r="W21" s="57"/>
      <x:c r="X21" s="57"/>
      <x:c r="Y21" s="57"/>
      <x:c r="Z21" s="57"/>
    </x:row>
    <x:row r="22">
      <x:c r="A22" s="61" t="str">
        <x:v>Эксплуатация инфраструктуры</x:v>
      </x:c>
      <x:c r="B22" s="61" t="str">
        <x:v>₽/год</x:v>
      </x:c>
      <x:c r="C22" s="64" t="n">
        <x:v>300000</x:v>
      </x:c>
      <x:c r="D22" s="61" t="str">
        <x:v>Допущение</x:v>
      </x:c>
      <x:c r="E22" s="61" t="str">
        <x:v>Проектная оценка</x:v>
      </x:c>
      <x:c r="F22" s="61" t="str">
        <x:v>Электроэнергия, обслуживание и резервное копирование</x:v>
      </x:c>
      <x:c r="G22" s="63" t="n">
        <x:v>0</x:v>
      </x:c>
      <x:c r="H22" s="63" t="n">
        <x:v>1000000</x:v>
      </x:c>
      <x:c r="I22" s="57"/>
      <x:c r="J22" s="57"/>
      <x:c r="K22" s="57"/>
      <x:c r="L22" s="57"/>
      <x:c r="M22" s="57"/>
      <x:c r="N22" s="57"/>
      <x:c r="O22" s="57"/>
      <x:c r="P22" s="57"/>
      <x:c r="Q22" s="57"/>
      <x:c r="R22" s="57"/>
      <x:c r="S22" s="57"/>
      <x:c r="T22" s="57"/>
      <x:c r="U22" s="57"/>
      <x:c r="V22" s="57"/>
      <x:c r="W22" s="57"/>
      <x:c r="X22" s="57"/>
      <x:c r="Y22" s="57"/>
      <x:c r="Z22" s="57"/>
    </x:row>
    <x:row r="23">
      <x:c r="A23" s="61" t="str">
        <x:v>Лицензии и вендорская поддержка</x:v>
      </x:c>
      <x:c r="B23" s="61" t="str">
        <x:v>₽/год</x:v>
      </x:c>
      <x:c r="C23" s="64" t="n">
        <x:v>250000</x:v>
      </x:c>
      <x:c r="D23" s="61" t="str">
        <x:v>Допущение</x:v>
      </x:c>
      <x:c r="E23" s="61" t="str">
        <x:v>Резерв</x:v>
      </x:c>
      <x:c r="F23" s="61" t="str">
        <x:v>Уточняется закупочной процедурой; можно обнулить</x:v>
      </x:c>
      <x:c r="G23" s="63" t="n">
        <x:v>0</x:v>
      </x:c>
      <x:c r="H23" s="63" t="n">
        <x:v>2000000</x:v>
      </x:c>
      <x:c r="I23" s="57"/>
      <x:c r="J23" s="57"/>
      <x:c r="K23" s="57"/>
      <x:c r="L23" s="57"/>
      <x:c r="M23" s="57"/>
      <x:c r="N23" s="57"/>
      <x:c r="O23" s="57"/>
      <x:c r="P23" s="57"/>
      <x:c r="Q23" s="57"/>
      <x:c r="R23" s="57"/>
      <x:c r="S23" s="57"/>
      <x:c r="T23" s="57"/>
      <x:c r="U23" s="57"/>
      <x:c r="V23" s="57"/>
      <x:c r="W23" s="57"/>
      <x:c r="X23" s="57"/>
      <x:c r="Y23" s="57"/>
      <x:c r="Z23" s="57"/>
    </x:row>
    <x:row r="24">
      <x:c r="A24" s="61" t="str">
        <x:v>Ставка дисконтирования</x:v>
      </x:c>
      <x:c r="B24" s="61" t="str">
        <x:v>%/год</x:v>
      </x:c>
      <x:c r="C24" s="66" t="n">
        <x:v>0.12</x:v>
      </x:c>
      <x:c r="D24" s="61" t="str">
        <x:v>Допущение</x:v>
      </x:c>
      <x:c r="E24" s="61" t="str">
        <x:v>Финансовое допущение</x:v>
      </x:c>
      <x:c r="F24" s="61" t="str">
        <x:v>Для NPV за горизонт модели</x:v>
      </x:c>
      <x:c r="G24" s="63" t="n">
        <x:v>0</x:v>
      </x:c>
      <x:c r="H24" s="63" t="n">
        <x:v>0.3</x:v>
      </x:c>
      <x:c r="I24" s="57"/>
      <x:c r="J24" s="57"/>
      <x:c r="K24" s="57"/>
      <x:c r="L24" s="57"/>
      <x:c r="M24" s="57"/>
      <x:c r="N24" s="57"/>
      <x:c r="O24" s="57"/>
      <x:c r="P24" s="57"/>
      <x:c r="Q24" s="57"/>
      <x:c r="R24" s="57"/>
      <x:c r="S24" s="57"/>
      <x:c r="T24" s="57"/>
      <x:c r="U24" s="57"/>
      <x:c r="V24" s="57"/>
      <x:c r="W24" s="57"/>
      <x:c r="X24" s="57"/>
      <x:c r="Y24" s="57"/>
      <x:c r="Z24" s="57"/>
    </x:row>
    <x:row r="25">
      <x:c r="A25" s="61" t="str">
        <x:v>Горизонт модели</x:v>
      </x:c>
      <x:c r="B25" s="61" t="str">
        <x:v>мес.</x:v>
      </x:c>
      <x:c r="C25" s="62" t="n">
        <x:v>36</x:v>
      </x:c>
      <x:c r="D25" s="61" t="str">
        <x:v>Допущение</x:v>
      </x:c>
      <x:c r="E25" s="61" t="str">
        <x:v>Финансовое допущение</x:v>
      </x:c>
      <x:c r="F25" s="61" t="str">
        <x:v>Период денежного потока</x:v>
      </x:c>
      <x:c r="G25" s="63" t="n">
        <x:v>12</x:v>
      </x:c>
      <x:c r="H25" s="63" t="n">
        <x:v>60</x:v>
      </x:c>
      <x:c r="I25" s="57"/>
      <x:c r="J25" s="57"/>
      <x:c r="K25" s="57"/>
      <x:c r="L25" s="57"/>
      <x:c r="M25" s="57"/>
      <x:c r="N25" s="57"/>
      <x:c r="O25" s="57"/>
      <x:c r="P25" s="57"/>
      <x:c r="Q25" s="57"/>
      <x:c r="R25" s="57"/>
      <x:c r="S25" s="57"/>
      <x:c r="T25" s="57"/>
      <x:c r="U25" s="57"/>
      <x:c r="V25" s="57"/>
      <x:c r="W25" s="57"/>
      <x:c r="X25" s="57"/>
      <x:c r="Y25" s="57"/>
      <x:c r="Z25" s="57"/>
    </x:row>
    <x:row r="26">
      <x:c r="A26" s="61" t="str">
        <x:v>Цель экономии кейса</x:v>
      </x:c>
      <x:c r="B26" s="61" t="str">
        <x:v>₽/квартал</x:v>
      </x:c>
      <x:c r="C26" s="64" t="n">
        <x:v>1100000</x:v>
      </x:c>
      <x:c r="D26" s="61" t="str">
        <x:v>Контроль</x:v>
      </x:c>
      <x:c r="E26" s="61" t="str">
        <x:v>Материалы кейса</x:v>
      </x:c>
      <x:c r="F26" s="61" t="str">
        <x:v>Сравнивается с расчетом по актуальной ставке 2 000 ₽/ч</x:v>
      </x:c>
      <x:c r="G26" s="63" t="n">
        <x:v>0</x:v>
      </x:c>
      <x:c r="H26" s="63" t="n">
        <x:v>10000000</x:v>
      </x:c>
      <x:c r="I26" s="57"/>
      <x:c r="J26" s="57"/>
      <x:c r="K26" s="57"/>
      <x:c r="L26" s="57"/>
      <x:c r="M26" s="57"/>
      <x:c r="N26" s="57"/>
      <x:c r="O26" s="57"/>
      <x:c r="P26" s="57"/>
      <x:c r="Q26" s="57"/>
      <x:c r="R26" s="57"/>
      <x:c r="S26" s="57"/>
      <x:c r="T26" s="57"/>
      <x:c r="U26" s="57"/>
      <x:c r="V26" s="57"/>
      <x:c r="W26" s="57"/>
      <x:c r="X26" s="57"/>
      <x:c r="Y26" s="57"/>
      <x:c r="Z26" s="57"/>
    </x:row>
    <x:row r="27">
      <x:c r="A27" s="61"/>
      <x:c r="B27" s="61"/>
      <x:c r="C27" s="61"/>
      <x:c r="D27" s="61"/>
      <x:c r="E27" s="61"/>
      <x:c r="F27" s="61"/>
      <x:c r="G27" s="61"/>
      <x:c r="H27" s="61"/>
      <x:c r="I27" s="57"/>
      <x:c r="J27" s="57"/>
      <x:c r="K27" s="57"/>
      <x:c r="L27" s="57"/>
      <x:c r="M27" s="57"/>
      <x:c r="N27" s="57"/>
      <x:c r="O27" s="57"/>
      <x:c r="P27" s="57"/>
      <x:c r="Q27" s="57"/>
      <x:c r="R27" s="57"/>
      <x:c r="S27" s="57"/>
      <x:c r="T27" s="57"/>
      <x:c r="U27" s="57"/>
      <x:c r="V27" s="57"/>
      <x:c r="W27" s="57"/>
      <x:c r="X27" s="57"/>
      <x:c r="Y27" s="57"/>
      <x:c r="Z27" s="57"/>
    </x:row>
    <x:row r="28">
      <x:c r="A28" s="67" t="str">
        <x:v>Сценарий 1 — служба технической поддержки / студенческий кейс</x:v>
      </x:c>
      <x:c r="B28" s="67"/>
      <x:c r="C28" s="67"/>
      <x:c r="D28" s="67"/>
      <x:c r="E28" s="67"/>
      <x:c r="F28" s="67"/>
      <x:c r="G28" s="67"/>
      <x:c r="H28" s="67"/>
      <x:c r="I28" s="57"/>
      <x:c r="J28" s="57"/>
      <x:c r="K28" s="57"/>
      <x:c r="L28" s="57"/>
      <x:c r="M28" s="57"/>
      <x:c r="N28" s="57"/>
      <x:c r="O28" s="57"/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>
      <x:c r="A29" s="60" t="str">
        <x:v>Параметр</x:v>
      </x:c>
      <x:c r="B29" s="60" t="str">
        <x:v>Ед. изм.</x:v>
      </x:c>
      <x:c r="C29" s="60" t="str">
        <x:v>Значение</x:v>
      </x:c>
      <x:c r="D29" s="60" t="str">
        <x:v>Тип</x:v>
      </x:c>
      <x:c r="E29" s="60" t="str">
        <x:v>Основание</x:v>
      </x:c>
      <x:c r="F29" s="60" t="str">
        <x:v>Комментарий</x:v>
      </x:c>
      <x:c r="G29" s="60" t="str">
        <x:v>Мин.</x:v>
      </x:c>
      <x:c r="H29" s="60" t="str">
        <x:v>Макс.</x:v>
      </x:c>
      <x:c r="I29" s="57"/>
      <x:c r="J29" s="57"/>
      <x:c r="K29" s="57"/>
      <x:c r="L29" s="57"/>
      <x:c r="M29" s="57"/>
      <x:c r="N29" s="57"/>
      <x:c r="O29" s="57"/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>
      <x:c r="A30" s="61" t="str">
        <x:v>Ручная обработка без платформы</x:v>
      </x:c>
      <x:c r="B30" s="61" t="str">
        <x:v>ч/день</x:v>
      </x:c>
      <x:c r="C30" s="68" t="n">
        <x:v>48</x:v>
      </x:c>
      <x:c r="D30" s="61" t="str">
        <x:v>Вход</x:v>
      </x:c>
      <x:c r="E30" s="61" t="str">
        <x:v>Материалы кейса</x:v>
      </x:c>
      <x:c r="F30" s="61" t="str">
        <x:v>Суммарная трудоемкость L1</x:v>
      </x:c>
      <x:c r="G30" s="61" t="n">
        <x:v>0</x:v>
      </x:c>
      <x:c r="H30" s="61" t="n">
        <x:v>100</x:v>
      </x:c>
      <x:c r="I30" s="57"/>
      <x:c r="J30" s="57"/>
      <x:c r="K30" s="57"/>
      <x:c r="L30" s="57"/>
      <x:c r="M30" s="57"/>
      <x:c r="N30" s="57"/>
      <x:c r="O30" s="57"/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>
      <x:c r="A31" s="61" t="str">
        <x:v>Сокращение ручной обработки</x:v>
      </x:c>
      <x:c r="B31" s="61" t="str">
        <x:v>%</x:v>
      </x:c>
      <x:c r="C31" s="66" t="n">
        <x:v>0.6</x:v>
      </x:c>
      <x:c r="D31" s="61" t="str">
        <x:v>Сценарий</x:v>
      </x:c>
      <x:c r="E31" s="61" t="str">
        <x:v>Цель To-Be</x:v>
      </x:c>
      <x:c r="F31" s="61" t="str">
        <x:v>Базовое значение; консервативный диапазон 50–60%</x:v>
      </x:c>
      <x:c r="G31" s="61" t="n">
        <x:v>0.3</x:v>
      </x:c>
      <x:c r="H31" s="61" t="n">
        <x:v>0.7</x:v>
      </x:c>
      <x:c r="I31" s="57"/>
      <x:c r="J31" s="57"/>
      <x:c r="K31" s="57"/>
      <x:c r="L31" s="57"/>
      <x:c r="M31" s="57"/>
      <x:c r="N31" s="57"/>
      <x:c r="O31" s="57"/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>
      <x:c r="A32" s="61" t="str">
        <x:v>Незамеченный простой без платформы</x:v>
      </x:c>
      <x:c r="B32" s="61" t="str">
        <x:v>мин/инцидент</x:v>
      </x:c>
      <x:c r="C32" s="68" t="n">
        <x:v>14</x:v>
      </x:c>
      <x:c r="D32" s="61" t="str">
        <x:v>Вход</x:v>
      </x:c>
      <x:c r="E32" s="61" t="str">
        <x:v>Материалы кейса</x:v>
      </x:c>
      <x:c r="F32" s="61" t="str">
        <x:v>Среднее время до реакции</x:v>
      </x:c>
      <x:c r="G32" s="61" t="n">
        <x:v>0</x:v>
      </x:c>
      <x:c r="H32" s="61" t="n">
        <x:v>60</x:v>
      </x:c>
      <x:c r="I32" s="57"/>
      <x:c r="J32" s="57"/>
      <x:c r="K32" s="57"/>
      <x:c r="L32" s="57"/>
      <x:c r="M32" s="57"/>
      <x:c r="N32" s="57"/>
      <x:c r="O32" s="57"/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>
      <x:c r="A33" s="61" t="str">
        <x:v>Незамеченный простой с платформой</x:v>
      </x:c>
      <x:c r="B33" s="61" t="str">
        <x:v>мин/инцидент</x:v>
      </x:c>
      <x:c r="C33" s="68" t="n">
        <x:v>4</x:v>
      </x:c>
      <x:c r="D33" s="61" t="str">
        <x:v>Сценарий</x:v>
      </x:c>
      <x:c r="E33" s="61" t="str">
        <x:v>Проектная спецификация</x:v>
      </x:c>
      <x:c r="F33" s="61" t="str">
        <x:v>Целевое сокращение времени обнаружения</x:v>
      </x:c>
      <x:c r="G33" s="61" t="n">
        <x:v>0</x:v>
      </x:c>
      <x:c r="H33" s="61" t="n">
        <x:v>14</x:v>
      </x:c>
      <x:c r="I33" s="57"/>
      <x:c r="J33" s="57"/>
      <x:c r="K33" s="57"/>
      <x:c r="L33" s="57"/>
      <x:c r="M33" s="57"/>
      <x:c r="N33" s="57"/>
      <x:c r="O33" s="57"/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>
      <x:c r="A34" s="61" t="str">
        <x:v>Ущерб за базовый инцидент</x:v>
      </x:c>
      <x:c r="B34" s="61" t="str">
        <x:v>₽</x:v>
      </x:c>
      <x:c r="C34" s="64" t="n">
        <x:v>3200000</x:v>
      </x:c>
      <x:c r="D34" s="61" t="str">
        <x:v>Вход</x:v>
      </x:c>
      <x:c r="E34" s="61" t="str">
        <x:v>Материалы кейса</x:v>
      </x:c>
      <x:c r="F34" s="61" t="str">
        <x:v>Ущерб соответствует 14 минутам простоя</x:v>
      </x:c>
      <x:c r="G34" s="61" t="n">
        <x:v>0</x:v>
      </x:c>
      <x:c r="H34" s="61" t="n">
        <x:v>10000000</x:v>
      </x:c>
      <x:c r="I34" s="57"/>
      <x:c r="J34" s="57"/>
      <x:c r="K34" s="57"/>
      <x:c r="L34" s="57"/>
      <x:c r="M34" s="57"/>
      <x:c r="N34" s="57"/>
      <x:c r="O34" s="57"/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>
      <x:c r="A35" s="61" t="str">
        <x:v>Базовый интервал ущерба</x:v>
      </x:c>
      <x:c r="B35" s="61" t="str">
        <x:v>мин</x:v>
      </x:c>
      <x:c r="C35" s="68" t="n">
        <x:v>14</x:v>
      </x:c>
      <x:c r="D35" s="61" t="str">
        <x:v>Вход</x:v>
      </x:c>
      <x:c r="E35" s="61" t="str">
        <x:v>Материалы кейса</x:v>
      </x:c>
      <x:c r="F35" s="61" t="str">
        <x:v>Используется для расчета стоимости минуты</x:v>
      </x:c>
      <x:c r="G35" s="61" t="n">
        <x:v>1</x:v>
      </x:c>
      <x:c r="H35" s="61" t="n">
        <x:v>60</x:v>
      </x:c>
      <x:c r="I35" s="57"/>
      <x:c r="J35" s="57"/>
      <x:c r="K35" s="57"/>
      <x:c r="L35" s="57"/>
      <x:c r="M35" s="57"/>
      <x:c r="N35" s="57"/>
      <x:c r="O35" s="57"/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>
      <x:c r="A36" s="61" t="str">
        <x:v>Критических инцидентов в год</x:v>
      </x:c>
      <x:c r="B36" s="61" t="str">
        <x:v>шт./год</x:v>
      </x:c>
      <x:c r="C36" s="68" t="n">
        <x:v>3</x:v>
      </x:c>
      <x:c r="D36" s="61" t="str">
        <x:v>Сценарий</x:v>
      </x:c>
      <x:c r="E36" s="61" t="str">
        <x:v>Проектная оценка</x:v>
      </x:c>
      <x:c r="F36" s="61" t="str">
        <x:v>Измените на фактическую статистику организации</x:v>
      </x:c>
      <x:c r="G36" s="61" t="n">
        <x:v>0</x:v>
      </x:c>
      <x:c r="H36" s="61" t="n">
        <x:v>100</x:v>
      </x:c>
      <x:c r="I36" s="57"/>
      <x:c r="J36" s="57"/>
      <x:c r="K36" s="57"/>
      <x:c r="L36" s="57"/>
      <x:c r="M36" s="57"/>
      <x:c r="N36" s="57"/>
      <x:c r="O36" s="57"/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>
      <x:c r="A37" s="61" t="str">
        <x:v>Новых источников в год</x:v>
      </x:c>
      <x:c r="B37" s="61" t="str">
        <x:v>шт./год</x:v>
      </x:c>
      <x:c r="C37" s="68" t="n">
        <x:v>4</x:v>
      </x:c>
      <x:c r="D37" s="61" t="str">
        <x:v>Сценарий</x:v>
      </x:c>
      <x:c r="E37" s="61" t="str">
        <x:v>Проектная оценка</x:v>
      </x:c>
      <x:c r="F37" s="61" t="str">
        <x:v>Подключаемые системы мониторинга</x:v>
      </x:c>
      <x:c r="G37" s="61" t="n">
        <x:v>0</x:v>
      </x:c>
      <x:c r="H37" s="61" t="n">
        <x:v>20</x:v>
      </x:c>
      <x:c r="I37" s="57"/>
      <x:c r="J37" s="57"/>
      <x:c r="K37" s="57"/>
      <x:c r="L37" s="57"/>
      <x:c r="M37" s="57"/>
      <x:c r="N37" s="57"/>
      <x:c r="O37" s="57"/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>
      <x:c r="A38" s="61" t="str">
        <x:v>Подключение источника без платформы</x:v>
      </x:c>
      <x:c r="B38" s="61" t="str">
        <x:v>ч/источник</x:v>
      </x:c>
      <x:c r="C38" s="68" t="n">
        <x:v>40</x:v>
      </x:c>
      <x:c r="D38" s="61" t="str">
        <x:v>Допущение</x:v>
      </x:c>
      <x:c r="E38" s="61" t="str">
        <x:v>Одна рабочая неделя</x:v>
      </x:c>
      <x:c r="F38" s="61" t="str">
        <x:v>Ручная интеграция и настройка маршрутов</x:v>
      </x:c>
      <x:c r="G38" s="61" t="n">
        <x:v>0</x:v>
      </x:c>
      <x:c r="H38" s="61" t="n">
        <x:v>160</x:v>
      </x:c>
      <x:c r="I38" s="57"/>
      <x:c r="J38" s="57"/>
      <x:c r="K38" s="57"/>
      <x:c r="L38" s="57"/>
      <x:c r="M38" s="57"/>
      <x:c r="N38" s="57"/>
      <x:c r="O38" s="57"/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>
      <x:c r="A39" s="61" t="str">
        <x:v>Подключение источника с платформой</x:v>
      </x:c>
      <x:c r="B39" s="61" t="str">
        <x:v>ч/источник</x:v>
      </x:c>
      <x:c r="C39" s="68" t="n">
        <x:v>8</x:v>
      </x:c>
      <x:c r="D39" s="61" t="str">
        <x:v>Допущение</x:v>
      </x:c>
      <x:c r="E39" s="61" t="str">
        <x:v>Один рабочий день</x:v>
      </x:c>
      <x:c r="F39" s="61" t="str">
        <x:v>Использование готового API и шаблонов</x:v>
      </x:c>
      <x:c r="G39" s="61" t="n">
        <x:v>0</x:v>
      </x:c>
      <x:c r="H39" s="61" t="n">
        <x:v>80</x:v>
      </x:c>
      <x:c r="I39" s="57"/>
      <x:c r="J39" s="57"/>
      <x:c r="K39" s="57"/>
      <x:c r="L39" s="57"/>
      <x:c r="M39" s="57"/>
      <x:c r="N39" s="57"/>
      <x:c r="O39" s="57"/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>
      <x:c r="A40" s="61" t="str">
        <x:v>Получателей P0 без платформы</x:v>
      </x:c>
      <x:c r="B40" s="61" t="str">
        <x:v>чел.</x:v>
      </x:c>
      <x:c r="C40" s="68" t="n">
        <x:v>200</x:v>
      </x:c>
      <x:c r="D40" s="61" t="str">
        <x:v>Вход</x:v>
      </x:c>
      <x:c r="E40" s="61" t="str">
        <x:v>Материалы кейса</x:v>
      </x:c>
      <x:c r="F40" s="61" t="str">
        <x:v>Массовая SMS-рассылка</x:v>
      </x:c>
      <x:c r="G40" s="61" t="n">
        <x:v>0</x:v>
      </x:c>
      <x:c r="H40" s="61" t="n">
        <x:v>500</x:v>
      </x:c>
      <x:c r="I40" s="57"/>
      <x:c r="J40" s="57"/>
      <x:c r="K40" s="57"/>
      <x:c r="L40" s="57"/>
      <x:c r="M40" s="57"/>
      <x:c r="N40" s="57"/>
      <x:c r="O40" s="57"/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>
      <x:c r="A41" s="61" t="str">
        <x:v>Получателей P0 с платформой</x:v>
      </x:c>
      <x:c r="B41" s="61" t="str">
        <x:v>чел.</x:v>
      </x:c>
      <x:c r="C41" s="68" t="n">
        <x:v>2</x:v>
      </x:c>
      <x:c r="D41" s="61" t="str">
        <x:v>Цель</x:v>
      </x:c>
      <x:c r="E41" s="61" t="str">
        <x:v>Целевая модель</x:v>
      </x:c>
      <x:c r="F41" s="61" t="str">
        <x:v>Адресная доставка ответственным</x:v>
      </x:c>
      <x:c r="G41" s="61" t="n">
        <x:v>1</x:v>
      </x:c>
      <x:c r="H41" s="61" t="n">
        <x:v>50</x:v>
      </x:c>
      <x:c r="I41" s="57"/>
      <x:c r="J41" s="57"/>
      <x:c r="K41" s="57"/>
      <x:c r="L41" s="57"/>
      <x:c r="M41" s="57"/>
      <x:c r="N41" s="57"/>
      <x:c r="O41" s="57"/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>
      <x:c r="A42" s="61"/>
      <x:c r="B42" s="61"/>
      <x:c r="C42" s="61"/>
      <x:c r="D42" s="61"/>
      <x:c r="E42" s="61"/>
      <x:c r="F42" s="61"/>
      <x:c r="G42" s="61"/>
      <x:c r="H42" s="61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>
      <x:c r="A43" s="67" t="str">
        <x:v>Сценарий 2 — оператор технологической установки / НПЗ (МС)</x:v>
      </x:c>
      <x:c r="B43" s="67"/>
      <x:c r="C43" s="67"/>
      <x:c r="D43" s="67"/>
      <x:c r="E43" s="67"/>
      <x:c r="F43" s="67"/>
      <x:c r="G43" s="67"/>
      <x:c r="H43" s="67"/>
      <x:c r="I43" s="57"/>
      <x:c r="J43" s="57"/>
      <x:c r="K43" s="57"/>
      <x:c r="L43" s="57"/>
      <x:c r="M43" s="57"/>
      <x:c r="N43" s="57"/>
      <x:c r="O43" s="57"/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>
      <x:c r="A44" s="60" t="str">
        <x:v>Параметр</x:v>
      </x:c>
      <x:c r="B44" s="60" t="str">
        <x:v>Ед. изм.</x:v>
      </x:c>
      <x:c r="C44" s="60" t="str">
        <x:v>Значение</x:v>
      </x:c>
      <x:c r="D44" s="60" t="str">
        <x:v>Тип</x:v>
      </x:c>
      <x:c r="E44" s="60" t="str">
        <x:v>Основание</x:v>
      </x:c>
      <x:c r="F44" s="60" t="str">
        <x:v>Комментарий</x:v>
      </x:c>
      <x:c r="G44" s="60" t="str">
        <x:v>Мин.</x:v>
      </x:c>
      <x:c r="H44" s="60" t="str">
        <x:v>Макс.</x:v>
      </x:c>
      <x:c r="I44" s="57"/>
      <x:c r="J44" s="57"/>
      <x:c r="K44" s="57"/>
      <x:c r="L44" s="57"/>
      <x:c r="M44" s="57"/>
      <x:c r="N44" s="57"/>
      <x:c r="O44" s="57"/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>
      <x:c r="A45" s="61" t="str">
        <x:v>Ручная обработка без платформы</x:v>
      </x:c>
      <x:c r="B45" s="61" t="str">
        <x:v>ч/день</x:v>
      </x:c>
      <x:c r="C45" s="68" t="n">
        <x:v>24</x:v>
      </x:c>
      <x:c r="D45" s="61" t="str">
        <x:v>Сценарий</x:v>
      </x:c>
      <x:c r="E45" s="61" t="str">
        <x:v>Учебное допущение</x:v>
      </x:c>
      <x:c r="F45" s="61" t="str">
        <x:v>Суммарная нагрузка сменных операторов</x:v>
      </x:c>
      <x:c r="G45" s="61" t="n">
        <x:v>0</x:v>
      </x:c>
      <x:c r="H45" s="61" t="n">
        <x:v>100</x:v>
      </x:c>
      <x:c r="I45" s="57"/>
      <x:c r="J45" s="57"/>
      <x:c r="K45" s="57"/>
      <x:c r="L45" s="57"/>
      <x:c r="M45" s="57"/>
      <x:c r="N45" s="57"/>
      <x:c r="O45" s="57"/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>
      <x:c r="A46" s="61" t="str">
        <x:v>Сокращение ручной обработки</x:v>
      </x:c>
      <x:c r="B46" s="61" t="str">
        <x:v>%</x:v>
      </x:c>
      <x:c r="C46" s="66" t="n">
        <x:v>0.5</x:v>
      </x:c>
      <x:c r="D46" s="61" t="str">
        <x:v>Сценарий</x:v>
      </x:c>
      <x:c r="E46" s="61" t="str">
        <x:v>Учебное допущение</x:v>
      </x:c>
      <x:c r="F46" s="61" t="str">
        <x:v>Консервативная оценка эффекта</x:v>
      </x:c>
      <x:c r="G46" s="61" t="n">
        <x:v>0.2</x:v>
      </x:c>
      <x:c r="H46" s="61" t="n">
        <x:v>0.7</x:v>
      </x:c>
      <x:c r="I46" s="57"/>
      <x:c r="J46" s="57"/>
      <x:c r="K46" s="57"/>
      <x:c r="L46" s="57"/>
      <x:c r="M46" s="57"/>
      <x:c r="N46" s="57"/>
      <x:c r="O46" s="57"/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>
      <x:c r="A47" s="61" t="str">
        <x:v>Задержка реакции без платформы</x:v>
      </x:c>
      <x:c r="B47" s="61" t="str">
        <x:v>мин/инцидент</x:v>
      </x:c>
      <x:c r="C47" s="68" t="n">
        <x:v>14</x:v>
      </x:c>
      <x:c r="D47" s="61" t="str">
        <x:v>Сценарий</x:v>
      </x:c>
      <x:c r="E47" s="61" t="str">
        <x:v>Аналогия с кейсом</x:v>
      </x:c>
      <x:c r="F47" s="61" t="str">
        <x:v>Подлежит замене фактической статистикой АСУ ТП</x:v>
      </x:c>
      <x:c r="G47" s="61" t="n">
        <x:v>0</x:v>
      </x:c>
      <x:c r="H47" s="61" t="n">
        <x:v>120</x:v>
      </x:c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>
      <x:c r="A48" s="61" t="str">
        <x:v>Задержка реакции с платформой</x:v>
      </x:c>
      <x:c r="B48" s="61" t="str">
        <x:v>мин/инцидент</x:v>
      </x:c>
      <x:c r="C48" s="68" t="n">
        <x:v>4</x:v>
      </x:c>
      <x:c r="D48" s="61" t="str">
        <x:v>Сценарий</x:v>
      </x:c>
      <x:c r="E48" s="61" t="str">
        <x:v>Целевая модель</x:v>
      </x:c>
      <x:c r="F48" s="61" t="str">
        <x:v>Автоматическая адресная доставка и эскалация</x:v>
      </x:c>
      <x:c r="G48" s="61" t="n">
        <x:v>0</x:v>
      </x:c>
      <x:c r="H48" s="61" t="n">
        <x:v>30</x:v>
      </x:c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>
      <x:c r="A49" s="61" t="str">
        <x:v>Стоимость простоя установки</x:v>
      </x:c>
      <x:c r="B49" s="61" t="str">
        <x:v>₽/сутки</x:v>
      </x:c>
      <x:c r="C49" s="64" t="n">
        <x:v>150000000</x:v>
      </x:c>
      <x:c r="D49" s="61" t="str">
        <x:v>Вход</x:v>
      </x:c>
      <x:c r="E49" s="61" t="str">
        <x:v>Условие задачи</x:v>
      </x:c>
      <x:c r="F49" s="61" t="str">
        <x:v>Учебная оценка потерь НПЗ</x:v>
      </x:c>
      <x:c r="G49" s="61" t="n">
        <x:v>0</x:v>
      </x:c>
      <x:c r="H49" s="61" t="n">
        <x:v>500000000</x:v>
      </x:c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>
      <x:c r="A50" s="61" t="str">
        <x:v>Критических инцидентов в год</x:v>
      </x:c>
      <x:c r="B50" s="61" t="str">
        <x:v>шт./год</x:v>
      </x:c>
      <x:c r="C50" s="68" t="n">
        <x:v>6</x:v>
      </x:c>
      <x:c r="D50" s="61" t="str">
        <x:v>Сценарий</x:v>
      </x:c>
      <x:c r="E50" s="61" t="str">
        <x:v>Учебное допущение</x:v>
      </x:c>
      <x:c r="F50" s="61" t="str">
        <x:v>Измените на статистику предприятия</x:v>
      </x:c>
      <x:c r="G50" s="61" t="n">
        <x:v>0</x:v>
      </x:c>
      <x:c r="H50" s="61" t="n">
        <x:v>100</x:v>
      </x:c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>
      <x:c r="A51" s="61" t="str">
        <x:v>Новых источников в год</x:v>
      </x:c>
      <x:c r="B51" s="61" t="str">
        <x:v>шт./год</x:v>
      </x:c>
      <x:c r="C51" s="68" t="n">
        <x:v>2</x:v>
      </x:c>
      <x:c r="D51" s="61" t="str">
        <x:v>Сценарий</x:v>
      </x:c>
      <x:c r="E51" s="61" t="str">
        <x:v>Учебное допущение</x:v>
      </x:c>
      <x:c r="F51" s="61" t="str">
        <x:v>Контроллеры, SCADA и смежные системы</x:v>
      </x:c>
      <x:c r="G51" s="61" t="n">
        <x:v>0</x:v>
      </x:c>
      <x:c r="H51" s="61" t="n">
        <x:v>20</x:v>
      </x:c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>
      <x:c r="A52" s="61" t="str">
        <x:v>Подключение источника без платформы</x:v>
      </x:c>
      <x:c r="B52" s="61" t="str">
        <x:v>ч/источник</x:v>
      </x:c>
      <x:c r="C52" s="68" t="n">
        <x:v>40</x:v>
      </x:c>
      <x:c r="D52" s="61" t="str">
        <x:v>Допущение</x:v>
      </x:c>
      <x:c r="E52" s="61" t="str">
        <x:v>Одна рабочая неделя</x:v>
      </x:c>
      <x:c r="F52" s="61" t="str">
        <x:v>Согласование и ручная настройка</x:v>
      </x:c>
      <x:c r="G52" s="61" t="n">
        <x:v>0</x:v>
      </x:c>
      <x:c r="H52" s="61" t="n">
        <x:v>160</x:v>
      </x:c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>
      <x:c r="A53" s="61" t="str">
        <x:v>Подключение источника с платформой</x:v>
      </x:c>
      <x:c r="B53" s="61" t="str">
        <x:v>ч/источник</x:v>
      </x:c>
      <x:c r="C53" s="68" t="n">
        <x:v>8</x:v>
      </x:c>
      <x:c r="D53" s="61" t="str">
        <x:v>Допущение</x:v>
      </x:c>
      <x:c r="E53" s="61" t="str">
        <x:v>Один рабочий день</x:v>
      </x:c>
      <x:c r="F53" s="61" t="str">
        <x:v>Шаблоны и стандартизованный шлюз</x:v>
      </x:c>
      <x:c r="G53" s="61" t="n">
        <x:v>0</x:v>
      </x:c>
      <x:c r="H53" s="61" t="n">
        <x:v>80</x:v>
      </x:c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>
      <x:c r="A54" s="61" t="str">
        <x:v>Получателей P0 без платформы</x:v>
      </x:c>
      <x:c r="B54" s="61" t="str">
        <x:v>чел.</x:v>
      </x:c>
      <x:c r="C54" s="68" t="n">
        <x:v>50</x:v>
      </x:c>
      <x:c r="D54" s="61" t="str">
        <x:v>Сценарий</x:v>
      </x:c>
      <x:c r="E54" s="61" t="str">
        <x:v>Учебное допущение</x:v>
      </x:c>
      <x:c r="F54" s="61" t="str">
        <x:v>Рассылка широкому кругу</x:v>
      </x:c>
      <x:c r="G54" s="61" t="n">
        <x:v>0</x:v>
      </x:c>
      <x:c r="H54" s="61" t="n">
        <x:v>200</x:v>
      </x:c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>
      <x:c r="A55" s="61" t="str">
        <x:v>Получателей P0 с платформой</x:v>
      </x:c>
      <x:c r="B55" s="61" t="str">
        <x:v>чел.</x:v>
      </x:c>
      <x:c r="C55" s="68" t="n">
        <x:v>2</x:v>
      </x:c>
      <x:c r="D55" s="61" t="str">
        <x:v>Цель</x:v>
      </x:c>
      <x:c r="E55" s="61" t="str">
        <x:v>Целевая модель</x:v>
      </x:c>
      <x:c r="F55" s="61" t="str">
        <x:v>Оператор и ответственный руководитель</x:v>
      </x:c>
      <x:c r="G55" s="61" t="n">
        <x:v>1</x:v>
      </x:c>
      <x:c r="H55" s="61" t="n">
        <x:v>20</x:v>
      </x:c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>
      <x:c r="A56" s="57"/>
      <x:c r="B56" s="57"/>
      <x:c r="C56" s="57"/>
      <x:c r="D56" s="57"/>
      <x:c r="E56" s="57"/>
      <x:c r="F56" s="57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>
      <x:c r="A57" s="69" t="str">
        <x:v>Важно: модель является учебной. До инвестиционного решения необходимо заменить сценарные значения фактической статистикой инцидентов, актами простоев, трудозатратами, коммерческими предложениями и условиями лицензирования.</x:v>
      </x:c>
      <x:c r="B57" s="69"/>
      <x:c r="C57" s="69"/>
      <x:c r="D57" s="69"/>
      <x:c r="E57" s="69"/>
      <x:c r="F57" s="69"/>
      <x:c r="G57" s="69"/>
      <x:c r="H57" s="69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>
      <x:c r="A58" s="69"/>
      <x:c r="B58" s="69"/>
      <x:c r="C58" s="69"/>
      <x:c r="D58" s="69"/>
      <x:c r="E58" s="69"/>
      <x:c r="F58" s="69"/>
      <x:c r="G58" s="69"/>
      <x:c r="H58" s="69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>
      <x:c r="A59" s="69"/>
      <x:c r="B59" s="69"/>
      <x:c r="C59" s="69"/>
      <x:c r="D59" s="69"/>
      <x:c r="E59" s="69"/>
      <x:c r="F59" s="69"/>
      <x:c r="G59" s="69"/>
      <x:c r="H59" s="69"/>
      <x:c r="I59" s="57"/>
      <x:c r="J59" s="57"/>
      <x:c r="K59" s="57"/>
      <x:c r="L59" s="57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>
      <x:c r="A60" s="57"/>
      <x:c r="B60" s="57"/>
      <x:c r="C60" s="57"/>
      <x:c r="D60" s="57"/>
      <x:c r="E60" s="57"/>
      <x:c r="F60" s="57"/>
      <x:c r="G60" s="57"/>
      <x:c r="H60" s="57"/>
      <x:c r="I60" s="57"/>
      <x:c r="J60" s="57"/>
      <x:c r="K60" s="57"/>
      <x:c r="L60" s="57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>
      <x:c r="A61" s="57"/>
      <x:c r="B61" s="57"/>
      <x:c r="C61" s="57"/>
      <x:c r="D61" s="57"/>
      <x:c r="E61" s="57"/>
      <x:c r="F61" s="57"/>
      <x:c r="G61" s="57"/>
      <x:c r="H61" s="57"/>
      <x:c r="I61" s="57"/>
      <x:c r="J61" s="57"/>
      <x:c r="K61" s="57"/>
      <x:c r="L61" s="57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>
      <x:c r="A62" s="57"/>
      <x:c r="B62" s="57"/>
      <x:c r="C62" s="57"/>
      <x:c r="D62" s="57"/>
      <x:c r="E62" s="57"/>
      <x:c r="F62" s="57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>
      <x:c r="A63" s="57"/>
      <x:c r="B63" s="57"/>
      <x:c r="C63" s="57"/>
      <x:c r="D63" s="57"/>
      <x:c r="E63" s="57"/>
      <x:c r="F63" s="57"/>
      <x:c r="G63" s="57"/>
      <x:c r="H63" s="57"/>
      <x:c r="I63" s="57"/>
      <x:c r="J63" s="57"/>
      <x:c r="K63" s="57"/>
      <x:c r="L63" s="57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>
      <x:c r="A64" s="57"/>
      <x:c r="B64" s="57"/>
      <x:c r="C64" s="57"/>
      <x:c r="D64" s="57"/>
      <x:c r="E64" s="57"/>
      <x:c r="F64" s="57"/>
      <x:c r="G64" s="57"/>
      <x:c r="H64" s="57"/>
      <x:c r="I64" s="57"/>
      <x:c r="J64" s="57"/>
      <x:c r="K64" s="57"/>
      <x:c r="L64" s="57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>
      <x:c r="A65" s="57"/>
      <x:c r="B65" s="57"/>
      <x:c r="C65" s="57"/>
      <x:c r="D65" s="57"/>
      <x:c r="E65" s="57"/>
      <x:c r="F65" s="57"/>
      <x:c r="G65" s="57"/>
      <x:c r="H65" s="57"/>
      <x:c r="I65" s="57"/>
      <x:c r="J65" s="57"/>
      <x:c r="K65" s="57"/>
      <x:c r="L65" s="57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>
      <x:c r="A66" s="57"/>
      <x:c r="B66" s="57"/>
      <x:c r="C66" s="57"/>
      <x:c r="D66" s="57"/>
      <x:c r="E66" s="57"/>
      <x:c r="F66" s="57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>
      <x:c r="A67" s="57"/>
      <x:c r="B67" s="57"/>
      <x:c r="C67" s="57"/>
      <x:c r="D67" s="57"/>
      <x:c r="E67" s="57"/>
      <x:c r="F67" s="57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>
      <x:c r="A68" s="57"/>
      <x:c r="B68" s="57"/>
      <x:c r="C68" s="57"/>
      <x:c r="D68" s="57"/>
      <x:c r="E68" s="57"/>
      <x:c r="F68" s="57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>
      <x:c r="A69" s="57"/>
      <x:c r="B69" s="57"/>
      <x:c r="C69" s="57"/>
      <x:c r="D69" s="57"/>
      <x:c r="E69" s="57"/>
      <x:c r="F69" s="57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>
      <x:c r="A70" s="57"/>
      <x:c r="B70" s="57"/>
      <x:c r="C70" s="57"/>
      <x:c r="D70" s="57"/>
      <x:c r="E70" s="57"/>
      <x:c r="F70" s="57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>
      <x:c r="A71" s="57"/>
      <x:c r="B71" s="57"/>
      <x:c r="C71" s="57"/>
      <x:c r="D71" s="57"/>
      <x:c r="E71" s="57"/>
      <x:c r="F71" s="57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>
      <x:c r="A72" s="57"/>
      <x:c r="B72" s="57"/>
      <x:c r="C72" s="57"/>
      <x:c r="D72" s="57"/>
      <x:c r="E72" s="57"/>
      <x:c r="F72" s="57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>
      <x:c r="A73" s="57"/>
      <x:c r="B73" s="57"/>
      <x:c r="C73" s="57"/>
      <x:c r="D73" s="57"/>
      <x:c r="E73" s="57"/>
      <x:c r="F73" s="57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>
      <x:c r="A74" s="57"/>
      <x:c r="B74" s="57"/>
      <x:c r="C74" s="57"/>
      <x:c r="D74" s="57"/>
      <x:c r="E74" s="57"/>
      <x:c r="F74" s="57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>
      <x:c r="A75" s="57"/>
      <x:c r="B75" s="57"/>
      <x:c r="C75" s="57"/>
      <x:c r="D75" s="57"/>
      <x:c r="E75" s="57"/>
      <x:c r="F75" s="57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>
      <x:c r="A76" s="57"/>
      <x:c r="B76" s="57"/>
      <x:c r="C76" s="57"/>
      <x:c r="D76" s="57"/>
      <x:c r="E76" s="57"/>
      <x:c r="F76" s="57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>
      <x:c r="A77" s="57"/>
      <x:c r="B77" s="57"/>
      <x:c r="C77" s="57"/>
      <x:c r="D77" s="57"/>
      <x:c r="E77" s="57"/>
      <x:c r="F77" s="57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>
      <x:c r="A78" s="57"/>
      <x:c r="B78" s="57"/>
      <x:c r="C78" s="57"/>
      <x:c r="D78" s="57"/>
      <x:c r="E78" s="57"/>
      <x:c r="F78" s="57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>
      <x:c r="A79" s="57"/>
      <x:c r="B79" s="57"/>
      <x:c r="C79" s="57"/>
      <x:c r="D79" s="57"/>
      <x:c r="E79" s="57"/>
      <x:c r="F79" s="57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>
      <x:c r="A80" s="57"/>
      <x:c r="B80" s="57"/>
      <x:c r="C80" s="57"/>
      <x:c r="D80" s="57"/>
      <x:c r="E80" s="57"/>
      <x:c r="F80" s="57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>
      <x:c r="A81" s="57"/>
      <x:c r="B81" s="57"/>
      <x:c r="C81" s="57"/>
      <x:c r="D81" s="57"/>
      <x:c r="E81" s="57"/>
      <x:c r="F81" s="57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>
      <x:c r="A82" s="57"/>
      <x:c r="B82" s="57"/>
      <x:c r="C82" s="57"/>
      <x:c r="D82" s="57"/>
      <x:c r="E82" s="57"/>
      <x:c r="F82" s="57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>
      <x:c r="A83" s="57"/>
      <x:c r="B83" s="57"/>
      <x:c r="C83" s="57"/>
      <x:c r="D83" s="57"/>
      <x:c r="E83" s="57"/>
      <x:c r="F83" s="57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>
      <x:c r="A84" s="57"/>
      <x:c r="B84" s="57"/>
      <x:c r="C84" s="57"/>
      <x:c r="D84" s="57"/>
      <x:c r="E84" s="57"/>
      <x:c r="F84" s="57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>
      <x:c r="A85" s="57"/>
      <x:c r="B85" s="57"/>
      <x:c r="C85" s="57"/>
      <x:c r="D85" s="57"/>
      <x:c r="E85" s="57"/>
      <x:c r="F85" s="57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>
      <x:c r="A86" s="57"/>
      <x:c r="B86" s="57"/>
      <x:c r="C86" s="57"/>
      <x:c r="D86" s="57"/>
      <x:c r="E86" s="57"/>
      <x:c r="F86" s="57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>
      <x:c r="A87" s="57"/>
      <x:c r="B87" s="57"/>
      <x:c r="C87" s="57"/>
      <x:c r="D87" s="57"/>
      <x:c r="E87" s="57"/>
      <x:c r="F87" s="57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>
      <x:c r="A88" s="57"/>
      <x:c r="B88" s="57"/>
      <x:c r="C88" s="57"/>
      <x:c r="D88" s="57"/>
      <x:c r="E88" s="57"/>
      <x:c r="F88" s="57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>
      <x:c r="A89" s="57"/>
      <x:c r="B89" s="57"/>
      <x:c r="C89" s="57"/>
      <x:c r="D89" s="57"/>
      <x:c r="E89" s="57"/>
      <x:c r="F89" s="57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>
      <x:c r="A90" s="57"/>
      <x:c r="B90" s="57"/>
      <x:c r="C90" s="57"/>
      <x:c r="D90" s="57"/>
      <x:c r="E90" s="57"/>
      <x:c r="F90" s="57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>
      <x:c r="A91" s="57"/>
      <x:c r="B91" s="57"/>
      <x:c r="C91" s="57"/>
      <x:c r="D91" s="57"/>
      <x:c r="E91" s="57"/>
      <x:c r="F91" s="57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>
      <x:c r="A92" s="57"/>
      <x:c r="B92" s="57"/>
      <x:c r="C92" s="57"/>
      <x:c r="D92" s="57"/>
      <x:c r="E92" s="57"/>
      <x:c r="F92" s="57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>
      <x:c r="A93" s="57"/>
      <x:c r="B93" s="57"/>
      <x:c r="C93" s="57"/>
      <x:c r="D93" s="57"/>
      <x:c r="E93" s="57"/>
      <x:c r="F93" s="57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>
      <x:c r="A94" s="57"/>
      <x:c r="B94" s="57"/>
      <x:c r="C94" s="57"/>
      <x:c r="D94" s="57"/>
      <x:c r="E94" s="57"/>
      <x:c r="F94" s="57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>
      <x:c r="A95" s="57"/>
      <x:c r="B95" s="57"/>
      <x:c r="C95" s="57"/>
      <x:c r="D95" s="57"/>
      <x:c r="E95" s="57"/>
      <x:c r="F95" s="57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>
      <x:c r="A96" s="57"/>
      <x:c r="B96" s="57"/>
      <x:c r="C96" s="57"/>
      <x:c r="D96" s="57"/>
      <x:c r="E96" s="57"/>
      <x:c r="F96" s="57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>
      <x:c r="A97" s="57"/>
      <x:c r="B97" s="57"/>
      <x:c r="C97" s="57"/>
      <x:c r="D97" s="57"/>
      <x:c r="E97" s="57"/>
      <x:c r="F97" s="57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>
      <x:c r="A98" s="57"/>
      <x:c r="B98" s="57"/>
      <x:c r="C98" s="57"/>
      <x:c r="D98" s="57"/>
      <x:c r="E98" s="57"/>
      <x:c r="F98" s="57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>
      <x:c r="A99" s="57"/>
      <x:c r="B99" s="57"/>
      <x:c r="C99" s="57"/>
      <x:c r="D99" s="57"/>
      <x:c r="E99" s="57"/>
      <x:c r="F99" s="57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>
      <x:c r="A100" s="57"/>
      <x:c r="B100" s="57"/>
      <x:c r="C100" s="57"/>
      <x:c r="D100" s="57"/>
      <x:c r="E100" s="57"/>
      <x:c r="F100" s="57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>
      <x:c r="A101" s="57"/>
      <x:c r="B101" s="57"/>
      <x:c r="C101" s="57"/>
      <x:c r="D101" s="57"/>
      <x:c r="E101" s="57"/>
      <x:c r="F101" s="57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>
      <x:c r="A102" s="57"/>
      <x:c r="B102" s="57"/>
      <x:c r="C102" s="57"/>
      <x:c r="D102" s="57"/>
      <x:c r="E102" s="57"/>
      <x:c r="F102" s="57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>
      <x:c r="A103" s="57"/>
      <x:c r="B103" s="57"/>
      <x:c r="C103" s="57"/>
      <x:c r="D103" s="57"/>
      <x:c r="E103" s="57"/>
      <x:c r="F103" s="57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>
      <x:c r="A104" s="57"/>
      <x:c r="B104" s="57"/>
      <x:c r="C104" s="57"/>
      <x:c r="D104" s="57"/>
      <x:c r="E104" s="57"/>
      <x:c r="F104" s="57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>
      <x:c r="A105" s="57"/>
      <x:c r="B105" s="57"/>
      <x:c r="C105" s="57"/>
      <x:c r="D105" s="57"/>
      <x:c r="E105" s="57"/>
      <x:c r="F105" s="57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>
      <x:c r="A106" s="57"/>
      <x:c r="B106" s="57"/>
      <x:c r="C106" s="57"/>
      <x:c r="D106" s="57"/>
      <x:c r="E106" s="57"/>
      <x:c r="F106" s="57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>
      <x:c r="A107" s="57"/>
      <x:c r="B107" s="57"/>
      <x:c r="C107" s="57"/>
      <x:c r="D107" s="57"/>
      <x:c r="E107" s="57"/>
      <x:c r="F107" s="57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>
      <x:c r="A108" s="57"/>
      <x:c r="B108" s="57"/>
      <x:c r="C108" s="57"/>
      <x:c r="D108" s="57"/>
      <x:c r="E108" s="57"/>
      <x:c r="F108" s="57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>
      <x:c r="A109" s="57"/>
      <x:c r="B109" s="57"/>
      <x:c r="C109" s="57"/>
      <x:c r="D109" s="57"/>
      <x:c r="E109" s="57"/>
      <x:c r="F109" s="57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>
      <x:c r="A110" s="57"/>
      <x:c r="B110" s="57"/>
      <x:c r="C110" s="57"/>
      <x:c r="D110" s="57"/>
      <x:c r="E110" s="57"/>
      <x:c r="F110" s="57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>
      <x:c r="A111" s="57"/>
      <x:c r="B111" s="57"/>
      <x:c r="C111" s="57"/>
      <x:c r="D111" s="57"/>
      <x:c r="E111" s="57"/>
      <x:c r="F111" s="57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>
      <x:c r="A112" s="57"/>
      <x:c r="B112" s="57"/>
      <x:c r="C112" s="57"/>
      <x:c r="D112" s="57"/>
      <x:c r="E112" s="57"/>
      <x:c r="F112" s="57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>
      <x:c r="A113" s="57"/>
      <x:c r="B113" s="57"/>
      <x:c r="C113" s="57"/>
      <x:c r="D113" s="57"/>
      <x:c r="E113" s="57"/>
      <x:c r="F113" s="57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>
      <x:c r="A114" s="57"/>
      <x:c r="B114" s="57"/>
      <x:c r="C114" s="57"/>
      <x:c r="D114" s="57"/>
      <x:c r="E114" s="57"/>
      <x:c r="F114" s="57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>
      <x:c r="A115" s="57"/>
      <x:c r="B115" s="57"/>
      <x:c r="C115" s="57"/>
      <x:c r="D115" s="57"/>
      <x:c r="E115" s="57"/>
      <x:c r="F115" s="57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>
      <x:c r="A116" s="57"/>
      <x:c r="B116" s="57"/>
      <x:c r="C116" s="57"/>
      <x:c r="D116" s="57"/>
      <x:c r="E116" s="57"/>
      <x:c r="F116" s="57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>
      <x:c r="A117" s="57"/>
      <x:c r="B117" s="57"/>
      <x:c r="C117" s="57"/>
      <x:c r="D117" s="57"/>
      <x:c r="E117" s="57"/>
      <x:c r="F117" s="57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>
      <x:c r="A118" s="57"/>
      <x:c r="B118" s="57"/>
      <x:c r="C118" s="57"/>
      <x:c r="D118" s="57"/>
      <x:c r="E118" s="57"/>
      <x:c r="F118" s="57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>
      <x:c r="A119" s="57"/>
      <x:c r="B119" s="57"/>
      <x:c r="C119" s="57"/>
      <x:c r="D119" s="57"/>
      <x:c r="E119" s="57"/>
      <x:c r="F119" s="57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>
      <x:c r="A120" s="57"/>
      <x:c r="B120" s="57"/>
      <x:c r="C120" s="57"/>
      <x:c r="D120" s="57"/>
      <x:c r="E120" s="57"/>
      <x:c r="F120" s="57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>
      <x:c r="A121" s="57"/>
      <x:c r="B121" s="57"/>
      <x:c r="C121" s="57"/>
      <x:c r="D121" s="57"/>
      <x:c r="E121" s="57"/>
      <x:c r="F121" s="57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>
      <x:c r="A122" s="57"/>
      <x:c r="B122" s="57"/>
      <x:c r="C122" s="57"/>
      <x:c r="D122" s="57"/>
      <x:c r="E122" s="57"/>
      <x:c r="F122" s="57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>
      <x:c r="A123" s="57"/>
      <x:c r="B123" s="57"/>
      <x:c r="C123" s="57"/>
      <x:c r="D123" s="57"/>
      <x:c r="E123" s="57"/>
      <x:c r="F123" s="57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>
      <x:c r="A124" s="57"/>
      <x:c r="B124" s="57"/>
      <x:c r="C124" s="57"/>
      <x:c r="D124" s="57"/>
      <x:c r="E124" s="57"/>
      <x:c r="F124" s="57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>
      <x:c r="A125" s="57"/>
      <x:c r="B125" s="57"/>
      <x:c r="C125" s="57"/>
      <x:c r="D125" s="57"/>
      <x:c r="E125" s="57"/>
      <x:c r="F125" s="57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>
      <x:c r="A126" s="57"/>
      <x:c r="B126" s="57"/>
      <x:c r="C126" s="57"/>
      <x:c r="D126" s="57"/>
      <x:c r="E126" s="57"/>
      <x:c r="F126" s="57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>
      <x:c r="A127" s="57"/>
      <x:c r="B127" s="57"/>
      <x:c r="C127" s="57"/>
      <x:c r="D127" s="57"/>
      <x:c r="E127" s="57"/>
      <x:c r="F127" s="57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>
      <x:c r="A128" s="57"/>
      <x:c r="B128" s="57"/>
      <x:c r="C128" s="57"/>
      <x:c r="D128" s="57"/>
      <x:c r="E128" s="57"/>
      <x:c r="F128" s="57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>
      <x:c r="A129" s="57"/>
      <x:c r="B129" s="57"/>
      <x:c r="C129" s="57"/>
      <x:c r="D129" s="57"/>
      <x:c r="E129" s="57"/>
      <x:c r="F129" s="57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>
      <x:c r="A130" s="57"/>
      <x:c r="B130" s="57"/>
      <x:c r="C130" s="57"/>
      <x:c r="D130" s="57"/>
      <x:c r="E130" s="57"/>
      <x:c r="F130" s="57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>
      <x:c r="A131" s="57"/>
      <x:c r="B131" s="57"/>
      <x:c r="C131" s="57"/>
      <x:c r="D131" s="57"/>
      <x:c r="E131" s="57"/>
      <x:c r="F131" s="57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>
      <x:c r="A132" s="57"/>
      <x:c r="B132" s="57"/>
      <x:c r="C132" s="57"/>
      <x:c r="D132" s="57"/>
      <x:c r="E132" s="57"/>
      <x:c r="F132" s="57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>
      <x:c r="A133" s="57"/>
      <x:c r="B133" s="57"/>
      <x:c r="C133" s="57"/>
      <x:c r="D133" s="57"/>
      <x:c r="E133" s="57"/>
      <x:c r="F133" s="57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>
      <x:c r="A134" s="57"/>
      <x:c r="B134" s="57"/>
      <x:c r="C134" s="57"/>
      <x:c r="D134" s="57"/>
      <x:c r="E134" s="57"/>
      <x:c r="F134" s="57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>
      <x:c r="A135" s="57"/>
      <x:c r="B135" s="57"/>
      <x:c r="C135" s="57"/>
      <x:c r="D135" s="57"/>
      <x:c r="E135" s="57"/>
      <x:c r="F135" s="57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>
      <x:c r="A136" s="57"/>
      <x:c r="B136" s="57"/>
      <x:c r="C136" s="57"/>
      <x:c r="D136" s="57"/>
      <x:c r="E136" s="57"/>
      <x:c r="F136" s="57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>
      <x:c r="A137" s="57"/>
      <x:c r="B137" s="57"/>
      <x:c r="C137" s="57"/>
      <x:c r="D137" s="57"/>
      <x:c r="E137" s="57"/>
      <x:c r="F137" s="57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>
      <x:c r="A138" s="57"/>
      <x:c r="B138" s="57"/>
      <x:c r="C138" s="57"/>
      <x:c r="D138" s="57"/>
      <x:c r="E138" s="57"/>
      <x:c r="F138" s="57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>
      <x:c r="A139" s="57"/>
      <x:c r="B139" s="57"/>
      <x:c r="C139" s="57"/>
      <x:c r="D139" s="57"/>
      <x:c r="E139" s="57"/>
      <x:c r="F139" s="57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>
      <x:c r="A140" s="57"/>
      <x:c r="B140" s="57"/>
      <x:c r="C140" s="57"/>
      <x:c r="D140" s="57"/>
      <x:c r="E140" s="57"/>
      <x:c r="F140" s="57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>
      <x:c r="A141" s="57"/>
      <x:c r="B141" s="57"/>
      <x:c r="C141" s="57"/>
      <x:c r="D141" s="57"/>
      <x:c r="E141" s="57"/>
      <x:c r="F141" s="57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>
      <x:c r="A142" s="57"/>
      <x:c r="B142" s="57"/>
      <x:c r="C142" s="57"/>
      <x:c r="D142" s="57"/>
      <x:c r="E142" s="57"/>
      <x:c r="F142" s="57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>
      <x:c r="A143" s="57"/>
      <x:c r="B143" s="57"/>
      <x:c r="C143" s="57"/>
      <x:c r="D143" s="57"/>
      <x:c r="E143" s="57"/>
      <x:c r="F143" s="57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>
      <x:c r="A144" s="57"/>
      <x:c r="B144" s="57"/>
      <x:c r="C144" s="57"/>
      <x:c r="D144" s="57"/>
      <x:c r="E144" s="57"/>
      <x:c r="F144" s="57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>
      <x:c r="A145" s="57"/>
      <x:c r="B145" s="57"/>
      <x:c r="C145" s="57"/>
      <x:c r="D145" s="57"/>
      <x:c r="E145" s="57"/>
      <x:c r="F145" s="57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>
      <x:c r="A146" s="57"/>
      <x:c r="B146" s="57"/>
      <x:c r="C146" s="57"/>
      <x:c r="D146" s="57"/>
      <x:c r="E146" s="57"/>
      <x:c r="F146" s="57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>
      <x:c r="A147" s="57"/>
      <x:c r="B147" s="57"/>
      <x:c r="C147" s="57"/>
      <x:c r="D147" s="57"/>
      <x:c r="E147" s="57"/>
      <x:c r="F147" s="57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>
      <x:c r="A148" s="57"/>
      <x:c r="B148" s="57"/>
      <x:c r="C148" s="57"/>
      <x:c r="D148" s="57"/>
      <x:c r="E148" s="57"/>
      <x:c r="F148" s="57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>
      <x:c r="A149" s="57"/>
      <x:c r="B149" s="57"/>
      <x:c r="C149" s="57"/>
      <x:c r="D149" s="57"/>
      <x:c r="E149" s="57"/>
      <x:c r="F149" s="57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>
      <x:c r="A150" s="57"/>
      <x:c r="B150" s="57"/>
      <x:c r="C150" s="57"/>
      <x:c r="D150" s="57"/>
      <x:c r="E150" s="57"/>
      <x:c r="F150" s="57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>
      <x:c r="A151" s="57"/>
      <x:c r="B151" s="57"/>
      <x:c r="C151" s="57"/>
      <x:c r="D151" s="57"/>
      <x:c r="E151" s="57"/>
      <x:c r="F151" s="57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>
      <x:c r="A152" s="57"/>
      <x:c r="B152" s="57"/>
      <x:c r="C152" s="57"/>
      <x:c r="D152" s="57"/>
      <x:c r="E152" s="57"/>
      <x:c r="F152" s="57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>
      <x:c r="A153" s="57"/>
      <x:c r="B153" s="57"/>
      <x:c r="C153" s="57"/>
      <x:c r="D153" s="57"/>
      <x:c r="E153" s="57"/>
      <x:c r="F153" s="57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>
      <x:c r="A154" s="57"/>
      <x:c r="B154" s="57"/>
      <x:c r="C154" s="57"/>
      <x:c r="D154" s="57"/>
      <x:c r="E154" s="57"/>
      <x:c r="F154" s="57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>
      <x:c r="A155" s="57"/>
      <x:c r="B155" s="57"/>
      <x:c r="C155" s="57"/>
      <x:c r="D155" s="57"/>
      <x:c r="E155" s="57"/>
      <x:c r="F155" s="57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>
      <x:c r="A156" s="57"/>
      <x:c r="B156" s="57"/>
      <x:c r="C156" s="57"/>
      <x:c r="D156" s="57"/>
      <x:c r="E156" s="57"/>
      <x:c r="F156" s="57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>
      <x:c r="A157" s="57"/>
      <x:c r="B157" s="57"/>
      <x:c r="C157" s="57"/>
      <x:c r="D157" s="57"/>
      <x:c r="E157" s="57"/>
      <x:c r="F157" s="57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>
      <x:c r="A158" s="57"/>
      <x:c r="B158" s="57"/>
      <x:c r="C158" s="57"/>
      <x:c r="D158" s="57"/>
      <x:c r="E158" s="57"/>
      <x:c r="F158" s="57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>
      <x:c r="A159" s="57"/>
      <x:c r="B159" s="57"/>
      <x:c r="C159" s="57"/>
      <x:c r="D159" s="57"/>
      <x:c r="E159" s="57"/>
      <x:c r="F159" s="57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>
      <x:c r="A160" s="57"/>
      <x:c r="B160" s="57"/>
      <x:c r="C160" s="57"/>
      <x:c r="D160" s="57"/>
      <x:c r="E160" s="57"/>
      <x:c r="F160" s="57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>
      <x:c r="A161" s="57"/>
      <x:c r="B161" s="57"/>
      <x:c r="C161" s="57"/>
      <x:c r="D161" s="57"/>
      <x:c r="E161" s="57"/>
      <x:c r="F161" s="57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>
      <x:c r="A162" s="57"/>
      <x:c r="B162" s="57"/>
      <x:c r="C162" s="57"/>
      <x:c r="D162" s="57"/>
      <x:c r="E162" s="57"/>
      <x:c r="F162" s="57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>
      <x:c r="A163" s="57"/>
      <x:c r="B163" s="57"/>
      <x:c r="C163" s="57"/>
      <x:c r="D163" s="57"/>
      <x:c r="E163" s="57"/>
      <x:c r="F163" s="57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>
      <x:c r="A164" s="57"/>
      <x:c r="B164" s="57"/>
      <x:c r="C164" s="57"/>
      <x:c r="D164" s="57"/>
      <x:c r="E164" s="57"/>
      <x:c r="F164" s="57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>
      <x:c r="A165" s="57"/>
      <x:c r="B165" s="57"/>
      <x:c r="C165" s="57"/>
      <x:c r="D165" s="57"/>
      <x:c r="E165" s="57"/>
      <x:c r="F165" s="57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>
      <x:c r="A166" s="57"/>
      <x:c r="B166" s="57"/>
      <x:c r="C166" s="57"/>
      <x:c r="D166" s="57"/>
      <x:c r="E166" s="57"/>
      <x:c r="F166" s="57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>
      <x:c r="A167" s="57"/>
      <x:c r="B167" s="57"/>
      <x:c r="C167" s="57"/>
      <x:c r="D167" s="57"/>
      <x:c r="E167" s="57"/>
      <x:c r="F167" s="57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>
      <x:c r="A168" s="57"/>
      <x:c r="B168" s="57"/>
      <x:c r="C168" s="57"/>
      <x:c r="D168" s="57"/>
      <x:c r="E168" s="57"/>
      <x:c r="F168" s="57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>
      <x:c r="A169" s="57"/>
      <x:c r="B169" s="57"/>
      <x:c r="C169" s="57"/>
      <x:c r="D169" s="57"/>
      <x:c r="E169" s="57"/>
      <x:c r="F169" s="57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>
      <x:c r="A170" s="57"/>
      <x:c r="B170" s="57"/>
      <x:c r="C170" s="57"/>
      <x:c r="D170" s="57"/>
      <x:c r="E170" s="57"/>
      <x:c r="F170" s="57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>
      <x:c r="A171" s="57"/>
      <x:c r="B171" s="57"/>
      <x:c r="C171" s="57"/>
      <x:c r="D171" s="57"/>
      <x:c r="E171" s="57"/>
      <x:c r="F171" s="57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>
      <x:c r="A172" s="57"/>
      <x:c r="B172" s="57"/>
      <x:c r="C172" s="57"/>
      <x:c r="D172" s="57"/>
      <x:c r="E172" s="57"/>
      <x:c r="F172" s="57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>
      <x:c r="A173" s="57"/>
      <x:c r="B173" s="57"/>
      <x:c r="C173" s="57"/>
      <x:c r="D173" s="57"/>
      <x:c r="E173" s="57"/>
      <x:c r="F173" s="57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>
      <x:c r="A174" s="57"/>
      <x:c r="B174" s="57"/>
      <x:c r="C174" s="57"/>
      <x:c r="D174" s="57"/>
      <x:c r="E174" s="57"/>
      <x:c r="F174" s="57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>
      <x:c r="A175" s="57"/>
      <x:c r="B175" s="57"/>
      <x:c r="C175" s="57"/>
      <x:c r="D175" s="57"/>
      <x:c r="E175" s="57"/>
      <x:c r="F175" s="57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>
      <x:c r="A176" s="57"/>
      <x:c r="B176" s="57"/>
      <x:c r="C176" s="57"/>
      <x:c r="D176" s="57"/>
      <x:c r="E176" s="57"/>
      <x:c r="F176" s="57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>
      <x:c r="A177" s="57"/>
      <x:c r="B177" s="57"/>
      <x:c r="C177" s="57"/>
      <x:c r="D177" s="57"/>
      <x:c r="E177" s="57"/>
      <x:c r="F177" s="57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>
      <x:c r="A178" s="57"/>
      <x:c r="B178" s="57"/>
      <x:c r="C178" s="57"/>
      <x:c r="D178" s="57"/>
      <x:c r="E178" s="57"/>
      <x:c r="F178" s="57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>
      <x:c r="A179" s="57"/>
      <x:c r="B179" s="57"/>
      <x:c r="C179" s="57"/>
      <x:c r="D179" s="57"/>
      <x:c r="E179" s="57"/>
      <x:c r="F179" s="57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>
      <x:c r="A180" s="57"/>
      <x:c r="B180" s="57"/>
      <x:c r="C180" s="57"/>
      <x:c r="D180" s="57"/>
      <x:c r="E180" s="57"/>
      <x:c r="F180" s="57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>
      <x:c r="A181" s="57"/>
      <x:c r="B181" s="57"/>
      <x:c r="C181" s="57"/>
      <x:c r="D181" s="57"/>
      <x:c r="E181" s="57"/>
      <x:c r="F181" s="57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>
      <x:c r="A182" s="57"/>
      <x:c r="B182" s="57"/>
      <x:c r="C182" s="57"/>
      <x:c r="D182" s="57"/>
      <x:c r="E182" s="57"/>
      <x:c r="F182" s="57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>
      <x:c r="A183" s="57"/>
      <x:c r="B183" s="57"/>
      <x:c r="C183" s="57"/>
      <x:c r="D183" s="57"/>
      <x:c r="E183" s="57"/>
      <x:c r="F183" s="57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>
      <x:c r="A184" s="57"/>
      <x:c r="B184" s="57"/>
      <x:c r="C184" s="57"/>
      <x:c r="D184" s="57"/>
      <x:c r="E184" s="57"/>
      <x:c r="F184" s="57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>
      <x:c r="A185" s="57"/>
      <x:c r="B185" s="57"/>
      <x:c r="C185" s="57"/>
      <x:c r="D185" s="57"/>
      <x:c r="E185" s="57"/>
      <x:c r="F185" s="57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>
      <x:c r="A186" s="57"/>
      <x:c r="B186" s="57"/>
      <x:c r="C186" s="57"/>
      <x:c r="D186" s="57"/>
      <x:c r="E186" s="57"/>
      <x:c r="F186" s="57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>
      <x:c r="A187" s="57"/>
      <x:c r="B187" s="57"/>
      <x:c r="C187" s="57"/>
      <x:c r="D187" s="57"/>
      <x:c r="E187" s="57"/>
      <x:c r="F187" s="57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>
      <x:c r="A188" s="57"/>
      <x:c r="B188" s="57"/>
      <x:c r="C188" s="57"/>
      <x:c r="D188" s="57"/>
      <x:c r="E188" s="57"/>
      <x:c r="F188" s="57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>
      <x:c r="A189" s="57"/>
      <x:c r="B189" s="57"/>
      <x:c r="C189" s="57"/>
      <x:c r="D189" s="57"/>
      <x:c r="E189" s="57"/>
      <x:c r="F189" s="57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>
      <x:c r="A190" s="57"/>
      <x:c r="B190" s="57"/>
      <x:c r="C190" s="57"/>
      <x:c r="D190" s="57"/>
      <x:c r="E190" s="57"/>
      <x:c r="F190" s="57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>
      <x:c r="A191" s="57"/>
      <x:c r="B191" s="57"/>
      <x:c r="C191" s="57"/>
      <x:c r="D191" s="57"/>
      <x:c r="E191" s="57"/>
      <x:c r="F191" s="57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>
      <x:c r="A192" s="57"/>
      <x:c r="B192" s="57"/>
      <x:c r="C192" s="57"/>
      <x:c r="D192" s="57"/>
      <x:c r="E192" s="57"/>
      <x:c r="F192" s="57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>
      <x:c r="A193" s="57"/>
      <x:c r="B193" s="57"/>
      <x:c r="C193" s="57"/>
      <x:c r="D193" s="57"/>
      <x:c r="E193" s="57"/>
      <x:c r="F193" s="57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>
      <x:c r="A194" s="57"/>
      <x:c r="B194" s="57"/>
      <x:c r="C194" s="57"/>
      <x:c r="D194" s="57"/>
      <x:c r="E194" s="57"/>
      <x:c r="F194" s="57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>
      <x:c r="A195" s="57"/>
      <x:c r="B195" s="57"/>
      <x:c r="C195" s="57"/>
      <x:c r="D195" s="57"/>
      <x:c r="E195" s="57"/>
      <x:c r="F195" s="57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>
      <x:c r="A196" s="57"/>
      <x:c r="B196" s="57"/>
      <x:c r="C196" s="57"/>
      <x:c r="D196" s="57"/>
      <x:c r="E196" s="57"/>
      <x:c r="F196" s="57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>
      <x:c r="A197" s="57"/>
      <x:c r="B197" s="57"/>
      <x:c r="C197" s="57"/>
      <x:c r="D197" s="57"/>
      <x:c r="E197" s="57"/>
      <x:c r="F197" s="57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>
      <x:c r="A198" s="57"/>
      <x:c r="B198" s="57"/>
      <x:c r="C198" s="57"/>
      <x:c r="D198" s="57"/>
      <x:c r="E198" s="57"/>
      <x:c r="F198" s="57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>
      <x:c r="A199" s="57"/>
      <x:c r="B199" s="57"/>
      <x:c r="C199" s="57"/>
      <x:c r="D199" s="57"/>
      <x:c r="E199" s="57"/>
      <x:c r="F199" s="57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>
      <x:c r="A200" s="57"/>
      <x:c r="B200" s="57"/>
      <x:c r="C200" s="57"/>
      <x:c r="D200" s="57"/>
      <x:c r="E200" s="57"/>
      <x:c r="F200" s="57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</x:sheetData>
  <x:mergeCells>
    <x:mergeCell ref="A1:H2"/>
    <x:mergeCell ref="A3:H3"/>
    <x:mergeCell ref="A4:B4"/>
    <x:mergeCell ref="E4:H4"/>
    <x:mergeCell ref="A6:H6"/>
    <x:mergeCell ref="A28:H28"/>
    <x:mergeCell ref="A43:H43"/>
    <x:mergeCell ref="A57:H59"/>
  </x:mergeCells>
  <x:dataValidations count="1">
    <x:dataValidation type="list" sqref="C4">
      <x:formula1>"Студенты,НПЗ / МС"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3" hidden="0" customWidth="1"/>
    <x:col min="2" max="2" width="17" hidden="0" customWidth="1"/>
    <x:col min="3" max="3" width="17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>
      <x:c r="A1" s="53" t="str">
        <x:v>Без платформы и с платформой</x:v>
      </x:c>
      <x:c r="B1" s="53"/>
      <x:c r="C1" s="53"/>
      <x:c r="D1" s="53"/>
      <x:c r="E1" s="53"/>
      <x:c r="F1" s="53"/>
      <x:c r="G1" s="53"/>
      <x:c r="H1" s="53"/>
      <x:c r="I1" s="53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>
      <x:c r="A2" s="53"/>
      <x:c r="B2" s="53"/>
      <x:c r="C2" s="53"/>
      <x:c r="D2" s="53"/>
      <x:c r="E2" s="53"/>
      <x:c r="F2" s="53"/>
      <x:c r="G2" s="53"/>
      <x:c r="H2" s="53"/>
      <x:c r="I2" s="53"/>
      <x:c r="J2" s="57"/>
      <x:c r="K2" s="57"/>
      <x:c r="L2" s="57"/>
      <x:c r="M2" s="57"/>
      <x:c r="N2" s="57"/>
      <x:c r="O2" s="57"/>
      <x:c r="P2" s="57"/>
      <x:c r="Q2" s="57"/>
      <x:c r="R2" s="57"/>
      <x:c r="S2" s="57"/>
      <x:c r="T2" s="57"/>
      <x:c r="U2" s="57"/>
      <x:c r="V2" s="57"/>
      <x:c r="W2" s="57"/>
      <x:c r="X2" s="57"/>
      <x:c r="Y2" s="57"/>
      <x:c r="Z2" s="57"/>
    </x:row>
    <x:row r="3">
      <x:c r="A3" s="54" t="str">
        <x:v>Расчет времени, прямых затрат и экономического эффекта по двум сценариям.</x:v>
      </x:c>
      <x:c r="B3" s="54"/>
      <x:c r="C3" s="54"/>
      <x:c r="D3" s="54"/>
      <x:c r="E3" s="54"/>
      <x:c r="F3" s="54"/>
      <x:c r="G3" s="54"/>
      <x:c r="H3" s="54"/>
      <x:c r="I3" s="54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</x:row>
    <x:row r="4">
      <x:c r="A4" s="57"/>
      <x:c r="B4" s="57"/>
      <x:c r="C4" s="57"/>
      <x:c r="D4" s="57"/>
      <x:c r="E4" s="57"/>
      <x:c r="F4" s="57"/>
      <x:c r="G4" s="57"/>
      <x:c r="H4" s="57"/>
      <x:c r="I4" s="57"/>
      <x:c r="J4" s="57"/>
      <x:c r="K4" s="57"/>
      <x:c r="L4" s="57"/>
      <x:c r="M4" s="57"/>
      <x:c r="N4" s="57"/>
      <x:c r="O4" s="57"/>
      <x:c r="P4" s="57"/>
      <x:c r="Q4" s="57"/>
      <x:c r="R4" s="57"/>
      <x:c r="S4" s="57"/>
      <x:c r="T4" s="57"/>
      <x:c r="U4" s="57"/>
      <x:c r="V4" s="57"/>
      <x:c r="W4" s="57"/>
      <x:c r="X4" s="57"/>
      <x:c r="Y4" s="57"/>
      <x:c r="Z4" s="57"/>
    </x:row>
    <x:row r="5">
      <x:c r="A5" s="59" t="str">
        <x:v>Операционный эффект</x:v>
      </x:c>
      <x:c r="B5" s="59"/>
      <x:c r="C5" s="59"/>
      <x:c r="D5" s="59"/>
      <x:c r="E5" s="59"/>
      <x:c r="F5" s="59"/>
      <x:c r="G5" s="59"/>
      <x:c r="H5" s="59"/>
      <x:c r="I5" s="59"/>
      <x:c r="J5" s="57"/>
      <x:c r="K5" s="57"/>
      <x:c r="L5" s="57"/>
      <x:c r="M5" s="57"/>
      <x:c r="N5" s="57"/>
      <x:c r="O5" s="57"/>
      <x:c r="P5" s="57"/>
      <x:c r="Q5" s="57"/>
      <x:c r="R5" s="57"/>
      <x:c r="S5" s="57"/>
      <x:c r="T5" s="57"/>
      <x:c r="U5" s="57"/>
      <x:c r="V5" s="57"/>
      <x:c r="W5" s="57"/>
      <x:c r="X5" s="57"/>
      <x:c r="Y5" s="57"/>
      <x:c r="Z5" s="57"/>
    </x:row>
    <x:row r="6">
      <x:c r="A6" s="60" t="str">
        <x:v>Показатель</x:v>
      </x:c>
      <x:c r="B6" s="60" t="str">
        <x:v>Студенты: без</x:v>
      </x:c>
      <x:c r="C6" s="60" t="str">
        <x:v>Студенты: с</x:v>
      </x:c>
      <x:c r="D6" s="60" t="str">
        <x:v>Экономия</x:v>
      </x:c>
      <x:c r="E6" s="60" t="str">
        <x:v>Эффект</x:v>
      </x:c>
      <x:c r="F6" s="60" t="str">
        <x:v>НПЗ: без</x:v>
      </x:c>
      <x:c r="G6" s="60" t="str">
        <x:v>НПЗ: с</x:v>
      </x:c>
      <x:c r="H6" s="60" t="str">
        <x:v>Экономия</x:v>
      </x:c>
      <x:c r="I6" s="60" t="str">
        <x:v>Эффект</x:v>
      </x:c>
      <x:c r="J6" s="57"/>
      <x:c r="K6" s="57"/>
      <x:c r="L6" s="57"/>
      <x:c r="M6" s="57"/>
      <x:c r="N6" s="57"/>
      <x:c r="O6" s="57"/>
      <x:c r="P6" s="57"/>
      <x:c r="Q6" s="57"/>
      <x:c r="R6" s="57"/>
      <x:c r="S6" s="57"/>
      <x:c r="T6" s="57"/>
      <x:c r="U6" s="57"/>
      <x:c r="V6" s="57"/>
      <x:c r="W6" s="57"/>
      <x:c r="X6" s="57"/>
      <x:c r="Y6" s="57"/>
      <x:c r="Z6" s="57"/>
    </x:row>
    <x:row r="7">
      <x:c r="A7" s="61" t="str">
        <x:v>Ручная обработка, ч/день</x:v>
      </x:c>
      <x:c r="B7" s="257" t="n">
        <x:f>'Допущения'!$C$30</x:f>
        <x:v>48</x:v>
      </x:c>
      <x:c r="C7" s="257" t="n">
        <x:f>B7*(1-'Допущения'!$C$31)</x:f>
        <x:v>19.200000000000003</x:v>
      </x:c>
      <x:c r="D7" s="258" t="n">
        <x:f>B7-C7</x:f>
        <x:v>28.799999999999997</x:v>
      </x:c>
      <x:c r="E7" s="259" t="n">
        <x:f>D7/B7</x:f>
        <x:v>0.6</x:v>
      </x:c>
      <x:c r="F7" s="257" t="n">
        <x:f>'Допущения'!$C$45</x:f>
        <x:v>24</x:v>
      </x:c>
      <x:c r="G7" s="257" t="n">
        <x:f>F7*(1-'Допущения'!$C$46)</x:f>
        <x:v>12</x:v>
      </x:c>
      <x:c r="H7" s="258" t="n">
        <x:f>F7-G7</x:f>
        <x:v>12</x:v>
      </x:c>
      <x:c r="I7" s="259" t="n">
        <x:f>H7/F7</x:f>
        <x:v>0.5</x:v>
      </x:c>
      <x:c r="J7" s="57"/>
      <x:c r="K7" s="57"/>
      <x:c r="L7" s="57"/>
      <x:c r="M7" s="57"/>
      <x:c r="N7" s="57"/>
      <x:c r="O7" s="57"/>
      <x:c r="P7" s="57"/>
      <x:c r="Q7" s="57"/>
      <x:c r="R7" s="57"/>
      <x:c r="S7" s="57"/>
      <x:c r="T7" s="57"/>
      <x:c r="U7" s="57"/>
      <x:c r="V7" s="57"/>
      <x:c r="W7" s="57"/>
      <x:c r="X7" s="57"/>
      <x:c r="Y7" s="57"/>
      <x:c r="Z7" s="57"/>
    </x:row>
    <x:row r="8">
      <x:c r="A8" s="61" t="str">
        <x:v>Ручная обработка, ч/год</x:v>
      </x:c>
      <x:c r="B8" s="257" t="n">
        <x:f>B7*'Допущения'!$C$8</x:f>
        <x:v>17520</x:v>
      </x:c>
      <x:c r="C8" s="257" t="n">
        <x:f>C7*'Допущения'!$C$8</x:f>
        <x:v>7008.000000000001</x:v>
      </x:c>
      <x:c r="D8" s="258" t="n">
        <x:f>B8-C8</x:f>
        <x:v>10512</x:v>
      </x:c>
      <x:c r="E8" s="259" t="n">
        <x:f>D8/B8</x:f>
        <x:v>0.6</x:v>
      </x:c>
      <x:c r="F8" s="257" t="n">
        <x:f>F7*'Допущения'!$C$8</x:f>
        <x:v>8760</x:v>
      </x:c>
      <x:c r="G8" s="257" t="n">
        <x:f>G7*'Допущения'!$C$8</x:f>
        <x:v>4380</x:v>
      </x:c>
      <x:c r="H8" s="258" t="n">
        <x:f>F8-G8</x:f>
        <x:v>4380</x:v>
      </x:c>
      <x:c r="I8" s="259" t="n">
        <x:f>H8/F8</x:f>
        <x:v>0.5</x:v>
      </x:c>
      <x:c r="J8" s="57"/>
      <x:c r="K8" s="57"/>
      <x:c r="L8" s="57"/>
      <x:c r="M8" s="57"/>
      <x:c r="N8" s="57"/>
      <x:c r="O8" s="57"/>
      <x:c r="P8" s="57"/>
      <x:c r="Q8" s="57"/>
      <x:c r="R8" s="57"/>
      <x:c r="S8" s="57"/>
      <x:c r="T8" s="57"/>
      <x:c r="U8" s="57"/>
      <x:c r="V8" s="57"/>
      <x:c r="W8" s="57"/>
      <x:c r="X8" s="57"/>
      <x:c r="Y8" s="57"/>
      <x:c r="Z8" s="57"/>
    </x:row>
    <x:row r="9">
      <x:c r="A9" s="61" t="str">
        <x:v>Трудозатраты поддержки / операторов, ₽/год</x:v>
      </x:c>
      <x:c r="B9" s="260" t="n">
        <x:f>B8*'Допущения'!$C$9</x:f>
        <x:v>35040000</x:v>
      </x:c>
      <x:c r="C9" s="260" t="n">
        <x:f>C8*'Допущения'!$C$9</x:f>
        <x:v>14016000.000000002</x:v>
      </x:c>
      <x:c r="D9" s="261" t="n">
        <x:f>B9-C9</x:f>
        <x:v>21024000</x:v>
      </x:c>
      <x:c r="E9" s="259" t="n">
        <x:f>D9/B9</x:f>
        <x:v>0.6</x:v>
      </x:c>
      <x:c r="F9" s="260" t="n">
        <x:f>F8*'Допущения'!$C$9</x:f>
        <x:v>17520000</x:v>
      </x:c>
      <x:c r="G9" s="260" t="n">
        <x:f>G8*'Допущения'!$C$9</x:f>
        <x:v>8760000</x:v>
      </x:c>
      <x:c r="H9" s="261" t="n">
        <x:f>F9-G9</x:f>
        <x:v>8760000</x:v>
      </x:c>
      <x:c r="I9" s="259" t="n">
        <x:f>H9/F9</x:f>
        <x:v>0.5</x:v>
      </x:c>
      <x:c r="J9" s="57"/>
      <x:c r="K9" s="57"/>
      <x:c r="L9" s="57"/>
      <x:c r="M9" s="57"/>
      <x:c r="N9" s="57"/>
      <x:c r="O9" s="57"/>
      <x:c r="P9" s="57"/>
      <x:c r="Q9" s="57"/>
      <x:c r="R9" s="57"/>
      <x:c r="S9" s="57"/>
      <x:c r="T9" s="57"/>
      <x:c r="U9" s="57"/>
      <x:c r="V9" s="57"/>
      <x:c r="W9" s="57"/>
      <x:c r="X9" s="57"/>
      <x:c r="Y9" s="57"/>
      <x:c r="Z9" s="57"/>
    </x:row>
    <x:row r="10">
      <x:c r="A10" s="61" t="str">
        <x:v>Задержка реакции, мин/инцидент</x:v>
      </x:c>
      <x:c r="B10" s="262" t="n">
        <x:f>'Допущения'!$C$32</x:f>
        <x:v>14</x:v>
      </x:c>
      <x:c r="C10" s="262" t="n">
        <x:f>'Допущения'!$C$33</x:f>
        <x:v>4</x:v>
      </x:c>
      <x:c r="D10" s="263" t="n">
        <x:f>B10-C10</x:f>
        <x:v>10</x:v>
      </x:c>
      <x:c r="E10" s="259" t="n">
        <x:f>D10/B10</x:f>
        <x:v>0.7142857142857143</x:v>
      </x:c>
      <x:c r="F10" s="262" t="n">
        <x:f>'Допущения'!$C$47</x:f>
        <x:v>14</x:v>
      </x:c>
      <x:c r="G10" s="262" t="n">
        <x:f>'Допущения'!$C$48</x:f>
        <x:v>4</x:v>
      </x:c>
      <x:c r="H10" s="263" t="n">
        <x:f>F10-G10</x:f>
        <x:v>10</x:v>
      </x:c>
      <x:c r="I10" s="259" t="n">
        <x:f>H10/F10</x:f>
        <x:v>0.7142857142857143</x:v>
      </x:c>
      <x:c r="J10" s="57"/>
      <x:c r="K10" s="57"/>
      <x:c r="L10" s="57"/>
      <x:c r="M10" s="57"/>
      <x:c r="N10" s="57"/>
      <x:c r="O10" s="57"/>
      <x:c r="P10" s="57"/>
      <x:c r="Q10" s="57"/>
      <x:c r="R10" s="57"/>
      <x:c r="S10" s="57"/>
      <x:c r="T10" s="57"/>
      <x:c r="U10" s="57"/>
      <x:c r="V10" s="57"/>
      <x:c r="W10" s="57"/>
      <x:c r="X10" s="57"/>
      <x:c r="Y10" s="57"/>
      <x:c r="Z10" s="57"/>
    </x:row>
    <x:row r="11">
      <x:c r="A11" s="61" t="str">
        <x:v>Стоимость минуты простоя, ₽</x:v>
      </x:c>
      <x:c r="B11" s="260" t="n">
        <x:f>'Допущения'!$C$34/'Допущения'!$C$35</x:f>
        <x:v>228571.42857142858</x:v>
      </x:c>
      <x:c r="C11" s="260" t="n">
        <x:f>B11</x:f>
        <x:v>228571.42857142858</x:v>
      </x:c>
      <x:c r="D11" s="261" t="n">
        <x:f>0</x:f>
        <x:v>0</x:v>
      </x:c>
      <x:c r="E11" s="259" t="n">
        <x:f>0</x:f>
        <x:v>0</x:v>
      </x:c>
      <x:c r="F11" s="260" t="n">
        <x:f>'Допущения'!$C$49/1440</x:f>
        <x:v>104166.66666666667</x:v>
      </x:c>
      <x:c r="G11" s="260" t="n">
        <x:f>F11</x:f>
        <x:v>104166.66666666667</x:v>
      </x:c>
      <x:c r="H11" s="261" t="n">
        <x:f>0</x:f>
        <x:v>0</x:v>
      </x:c>
      <x:c r="I11" s="259" t="n">
        <x:f>0</x:f>
        <x:v>0</x:v>
      </x:c>
      <x:c r="J11" s="57"/>
      <x:c r="K11" s="57"/>
      <x:c r="L11" s="57"/>
      <x:c r="M11" s="57"/>
      <x:c r="N11" s="57"/>
      <x:c r="O11" s="57"/>
      <x:c r="P11" s="57"/>
      <x:c r="Q11" s="57"/>
      <x:c r="R11" s="57"/>
      <x:c r="S11" s="57"/>
      <x:c r="T11" s="57"/>
      <x:c r="U11" s="57"/>
      <x:c r="V11" s="57"/>
      <x:c r="W11" s="57"/>
      <x:c r="X11" s="57"/>
      <x:c r="Y11" s="57"/>
      <x:c r="Z11" s="57"/>
    </x:row>
    <x:row r="12">
      <x:c r="A12" s="61" t="str">
        <x:v>Критические инциденты, шт./год</x:v>
      </x:c>
      <x:c r="B12" s="264" t="n">
        <x:f>'Допущения'!$C$36</x:f>
        <x:v>3</x:v>
      </x:c>
      <x:c r="C12" s="264" t="n">
        <x:f>'Допущения'!$C$36</x:f>
        <x:v>3</x:v>
      </x:c>
      <x:c r="D12" s="265" t="n">
        <x:f>0</x:f>
        <x:v>0</x:v>
      </x:c>
      <x:c r="E12" s="259" t="n">
        <x:f>0</x:f>
        <x:v>0</x:v>
      </x:c>
      <x:c r="F12" s="264" t="n">
        <x:f>'Допущения'!$C$50</x:f>
        <x:v>6</x:v>
      </x:c>
      <x:c r="G12" s="264" t="n">
        <x:f>'Допущения'!$C$50</x:f>
        <x:v>6</x:v>
      </x:c>
      <x:c r="H12" s="265" t="n">
        <x:f>0</x:f>
        <x:v>0</x:v>
      </x:c>
      <x:c r="I12" s="259" t="n">
        <x:f>0</x:f>
        <x:v>0</x:v>
      </x:c>
      <x:c r="J12" s="57"/>
      <x:c r="K12" s="57"/>
      <x:c r="L12" s="57"/>
      <x:c r="M12" s="57"/>
      <x:c r="N12" s="57"/>
      <x:c r="O12" s="57"/>
      <x:c r="P12" s="57"/>
      <x:c r="Q12" s="57"/>
      <x:c r="R12" s="57"/>
      <x:c r="S12" s="57"/>
      <x:c r="T12" s="57"/>
      <x:c r="U12" s="57"/>
      <x:c r="V12" s="57"/>
      <x:c r="W12" s="57"/>
      <x:c r="X12" s="57"/>
      <x:c r="Y12" s="57"/>
      <x:c r="Z12" s="57"/>
    </x:row>
    <x:row r="13">
      <x:c r="A13" s="61" t="str">
        <x:v>Потери от простоев, ₽/год</x:v>
      </x:c>
      <x:c r="B13" s="260" t="n">
        <x:f>B10*B11*B12</x:f>
        <x:v>9600000</x:v>
      </x:c>
      <x:c r="C13" s="260" t="n">
        <x:f>C10*C11*C12</x:f>
        <x:v>2742857.1428571427</x:v>
      </x:c>
      <x:c r="D13" s="261" t="n">
        <x:f>B13-C13</x:f>
        <x:v>6857142.857142857</x:v>
      </x:c>
      <x:c r="E13" s="259" t="n">
        <x:f>D13/B13</x:f>
        <x:v>0.7142857142857143</x:v>
      </x:c>
      <x:c r="F13" s="260" t="n">
        <x:f>F10*F11*F12</x:f>
        <x:v>8750000</x:v>
      </x:c>
      <x:c r="G13" s="260" t="n">
        <x:f>G10*G11*G12</x:f>
        <x:v>2500000</x:v>
      </x:c>
      <x:c r="H13" s="261" t="n">
        <x:f>F13-G13</x:f>
        <x:v>6250000</x:v>
      </x:c>
      <x:c r="I13" s="259" t="n">
        <x:f>H13/F13</x:f>
        <x:v>0.7142857142857143</x:v>
      </x:c>
      <x:c r="J13" s="57"/>
      <x:c r="K13" s="57"/>
      <x:c r="L13" s="57"/>
      <x:c r="M13" s="57"/>
      <x:c r="N13" s="57"/>
      <x:c r="O13" s="57"/>
      <x:c r="P13" s="57"/>
      <x:c r="Q13" s="57"/>
      <x:c r="R13" s="57"/>
      <x:c r="S13" s="57"/>
      <x:c r="T13" s="57"/>
      <x:c r="U13" s="57"/>
      <x:c r="V13" s="57"/>
      <x:c r="W13" s="57"/>
      <x:c r="X13" s="57"/>
      <x:c r="Y13" s="57"/>
      <x:c r="Z13" s="57"/>
    </x:row>
    <x:row r="14">
      <x:c r="A14" s="61" t="str">
        <x:v>Новые источники, шт./год</x:v>
      </x:c>
      <x:c r="B14" s="257" t="n">
        <x:f>'Допущения'!$C$37</x:f>
        <x:v>4</x:v>
      </x:c>
      <x:c r="C14" s="257" t="n">
        <x:f>'Допущения'!$C$37</x:f>
        <x:v>4</x:v>
      </x:c>
      <x:c r="D14" s="258" t="n">
        <x:f>0</x:f>
        <x:v>0</x:v>
      </x:c>
      <x:c r="E14" s="259" t="n">
        <x:f>0</x:f>
        <x:v>0</x:v>
      </x:c>
      <x:c r="F14" s="257" t="n">
        <x:f>'Допущения'!$C$51</x:f>
        <x:v>2</x:v>
      </x:c>
      <x:c r="G14" s="257" t="n">
        <x:f>'Допущения'!$C$51</x:f>
        <x:v>2</x:v>
      </x:c>
      <x:c r="H14" s="258" t="n">
        <x:f>0</x:f>
        <x:v>0</x:v>
      </x:c>
      <x:c r="I14" s="259" t="n">
        <x:f>0</x:f>
        <x:v>0</x:v>
      </x:c>
      <x:c r="J14" s="57"/>
      <x:c r="K14" s="57"/>
      <x:c r="L14" s="57"/>
      <x:c r="M14" s="57"/>
      <x:c r="N14" s="57"/>
      <x:c r="O14" s="57"/>
      <x:c r="P14" s="57"/>
      <x:c r="Q14" s="57"/>
      <x:c r="R14" s="57"/>
      <x:c r="S14" s="57"/>
      <x:c r="T14" s="57"/>
      <x:c r="U14" s="57"/>
      <x:c r="V14" s="57"/>
      <x:c r="W14" s="57"/>
      <x:c r="X14" s="57"/>
      <x:c r="Y14" s="57"/>
      <x:c r="Z14" s="57"/>
    </x:row>
    <x:row r="15">
      <x:c r="A15" s="61" t="str">
        <x:v>Подключение источника, ч/источник</x:v>
      </x:c>
      <x:c r="B15" s="257" t="n">
        <x:f>'Допущения'!$C$38</x:f>
        <x:v>40</x:v>
      </x:c>
      <x:c r="C15" s="257" t="n">
        <x:f>'Допущения'!$C$39</x:f>
        <x:v>8</x:v>
      </x:c>
      <x:c r="D15" s="258" t="n">
        <x:f>B15-C15</x:f>
        <x:v>32</x:v>
      </x:c>
      <x:c r="E15" s="259" t="n">
        <x:f>D15/B15</x:f>
        <x:v>0.8</x:v>
      </x:c>
      <x:c r="F15" s="257" t="n">
        <x:f>'Допущения'!$C$52</x:f>
        <x:v>40</x:v>
      </x:c>
      <x:c r="G15" s="257" t="n">
        <x:f>'Допущения'!$C$53</x:f>
        <x:v>8</x:v>
      </x:c>
      <x:c r="H15" s="258" t="n">
        <x:f>F15-G15</x:f>
        <x:v>32</x:v>
      </x:c>
      <x:c r="I15" s="259" t="n">
        <x:f>H15/F15</x:f>
        <x:v>0.8</x:v>
      </x:c>
      <x:c r="J15" s="57"/>
      <x:c r="K15" s="57"/>
      <x:c r="L15" s="57"/>
      <x:c r="M15" s="57"/>
      <x:c r="N15" s="57"/>
      <x:c r="O15" s="57"/>
      <x:c r="P15" s="57"/>
      <x:c r="Q15" s="57"/>
      <x:c r="R15" s="57"/>
      <x:c r="S15" s="57"/>
      <x:c r="T15" s="57"/>
      <x:c r="U15" s="57"/>
      <x:c r="V15" s="57"/>
      <x:c r="W15" s="57"/>
      <x:c r="X15" s="57"/>
      <x:c r="Y15" s="57"/>
      <x:c r="Z15" s="57"/>
    </x:row>
    <x:row r="16">
      <x:c r="A16" s="61" t="str">
        <x:v>Подключение источников, ч/год</x:v>
      </x:c>
      <x:c r="B16" s="257" t="n">
        <x:f>B14*B15</x:f>
        <x:v>160</x:v>
      </x:c>
      <x:c r="C16" s="257" t="n">
        <x:f>C14*C15</x:f>
        <x:v>32</x:v>
      </x:c>
      <x:c r="D16" s="258" t="n">
        <x:f>B16-C16</x:f>
        <x:v>128</x:v>
      </x:c>
      <x:c r="E16" s="259" t="n">
        <x:f>D16/B16</x:f>
        <x:v>0.8</x:v>
      </x:c>
      <x:c r="F16" s="257" t="n">
        <x:f>F14*F15</x:f>
        <x:v>80</x:v>
      </x:c>
      <x:c r="G16" s="257" t="n">
        <x:f>G14*G15</x:f>
        <x:v>16</x:v>
      </x:c>
      <x:c r="H16" s="258" t="n">
        <x:f>F16-G16</x:f>
        <x:v>64</x:v>
      </x:c>
      <x:c r="I16" s="259" t="n">
        <x:f>H16/F16</x:f>
        <x:v>0.8</x:v>
      </x:c>
      <x:c r="J16" s="57"/>
      <x:c r="K16" s="57"/>
      <x:c r="L16" s="57"/>
      <x:c r="M16" s="57"/>
      <x:c r="N16" s="57"/>
      <x:c r="O16" s="57"/>
      <x:c r="P16" s="57"/>
      <x:c r="Q16" s="57"/>
      <x:c r="R16" s="57"/>
      <x:c r="S16" s="57"/>
      <x:c r="T16" s="57"/>
      <x:c r="U16" s="57"/>
      <x:c r="V16" s="57"/>
      <x:c r="W16" s="57"/>
      <x:c r="X16" s="57"/>
      <x:c r="Y16" s="57"/>
      <x:c r="Z16" s="57"/>
    </x:row>
    <x:row r="17">
      <x:c r="A17" s="61" t="str">
        <x:v>Подключение источников, ₽/год</x:v>
      </x:c>
      <x:c r="B17" s="260" t="n">
        <x:f>B16*'Допущения'!$C$10</x:f>
        <x:v>560000</x:v>
      </x:c>
      <x:c r="C17" s="260" t="n">
        <x:f>C16*'Допущения'!$C$10</x:f>
        <x:v>112000</x:v>
      </x:c>
      <x:c r="D17" s="261" t="n">
        <x:f>B17-C17</x:f>
        <x:v>448000</x:v>
      </x:c>
      <x:c r="E17" s="259" t="n">
        <x:f>D17/B17</x:f>
        <x:v>0.8</x:v>
      </x:c>
      <x:c r="F17" s="260" t="n">
        <x:f>F16*'Допущения'!$C$10</x:f>
        <x:v>280000</x:v>
      </x:c>
      <x:c r="G17" s="260" t="n">
        <x:f>G16*'Допущения'!$C$10</x:f>
        <x:v>56000</x:v>
      </x:c>
      <x:c r="H17" s="261" t="n">
        <x:f>F17-G17</x:f>
        <x:v>224000</x:v>
      </x:c>
      <x:c r="I17" s="259" t="n">
        <x:f>H17/F17</x:f>
        <x:v>0.8</x:v>
      </x:c>
      <x:c r="J17" s="57"/>
      <x:c r="K17" s="57"/>
      <x:c r="L17" s="57"/>
      <x:c r="M17" s="57"/>
      <x:c r="N17" s="57"/>
      <x:c r="O17" s="57"/>
      <x:c r="P17" s="57"/>
      <x:c r="Q17" s="57"/>
      <x:c r="R17" s="57"/>
      <x:c r="S17" s="57"/>
      <x:c r="T17" s="57"/>
      <x:c r="U17" s="57"/>
      <x:c r="V17" s="57"/>
      <x:c r="W17" s="57"/>
      <x:c r="X17" s="57"/>
      <x:c r="Y17" s="57"/>
      <x:c r="Z17" s="57"/>
    </x:row>
    <x:row r="18">
      <x:c r="A18" s="266" t="str">
        <x:v>ИТОГО прямые затраты, ₽/год</x:v>
      </x:c>
      <x:c r="B18" s="267" t="n">
        <x:f>B9+B13+B17</x:f>
        <x:v>45200000</x:v>
      </x:c>
      <x:c r="C18" s="267" t="n">
        <x:f>C9+C13+C17</x:f>
        <x:v>16870857.142857146</x:v>
      </x:c>
      <x:c r="D18" s="268" t="n">
        <x:f>B18-C18</x:f>
        <x:v>28329142.857142854</x:v>
      </x:c>
      <x:c r="E18" s="269" t="n">
        <x:f>D18/B18</x:f>
        <x:v>0.6267509481668773</x:v>
      </x:c>
      <x:c r="F18" s="65" t="n">
        <x:f>F9+F13+F17</x:f>
        <x:v>26550000</x:v>
      </x:c>
      <x:c r="G18" s="65" t="n">
        <x:f>G9+G13+G17</x:f>
        <x:v>11316000</x:v>
      </x:c>
      <x:c r="H18" s="268" t="n">
        <x:f>F18-G18</x:f>
        <x:v>15234000</x:v>
      </x:c>
      <x:c r="I18" s="269" t="n">
        <x:f>H18/F18</x:f>
        <x:v>0.5737853107344633</x:v>
      </x:c>
      <x:c r="J18" s="57"/>
      <x:c r="K18" s="57"/>
      <x:c r="L18" s="57"/>
      <x:c r="M18" s="57"/>
      <x:c r="N18" s="57"/>
      <x:c r="O18" s="57"/>
      <x:c r="P18" s="57"/>
      <x:c r="Q18" s="57"/>
      <x:c r="R18" s="57"/>
      <x:c r="S18" s="57"/>
      <x:c r="T18" s="57"/>
      <x:c r="U18" s="57"/>
      <x:c r="V18" s="57"/>
      <x:c r="W18" s="57"/>
      <x:c r="X18" s="57"/>
      <x:c r="Y18" s="57"/>
      <x:c r="Z18" s="57"/>
    </x:row>
    <x:row r="19">
      <x:c r="A19" s="266" t="str">
        <x:v>Экономия, ₽/год</x:v>
      </x:c>
      <x:c r="B19" s="267"/>
      <x:c r="C19" s="267"/>
      <x:c r="D19" s="268" t="n">
        <x:f>D18</x:f>
        <x:v>28329142.857142854</x:v>
      </x:c>
      <x:c r="E19" s="269" t="n">
        <x:f>E18</x:f>
        <x:v>0.6267509481668773</x:v>
      </x:c>
      <x:c r="F19" s="65"/>
      <x:c r="G19" s="65"/>
      <x:c r="H19" s="268" t="n">
        <x:f>H18</x:f>
        <x:v>15234000</x:v>
      </x:c>
      <x:c r="I19" s="269" t="n">
        <x:f>I18</x:f>
        <x:v>0.5737853107344633</x:v>
      </x:c>
      <x:c r="J19" s="57"/>
      <x:c r="K19" s="57"/>
      <x:c r="L19" s="57"/>
      <x:c r="M19" s="57"/>
      <x:c r="N19" s="57"/>
      <x:c r="O19" s="57"/>
      <x:c r="P19" s="57"/>
      <x:c r="Q19" s="57"/>
      <x:c r="R19" s="57"/>
      <x:c r="S19" s="57"/>
      <x:c r="T19" s="57"/>
      <x:c r="U19" s="57"/>
      <x:c r="V19" s="57"/>
      <x:c r="W19" s="57"/>
      <x:c r="X19" s="57"/>
      <x:c r="Y19" s="57"/>
      <x:c r="Z19" s="57"/>
    </x:row>
    <x:row r="20">
      <x:c r="A20" s="266" t="str">
        <x:v>Сокращение прямых затрат, %</x:v>
      </x:c>
      <x:c r="B20" s="270"/>
      <x:c r="C20" s="270"/>
      <x:c r="D20" s="269" t="n">
        <x:f>E18</x:f>
        <x:v>0.6267509481668773</x:v>
      </x:c>
      <x:c r="E20" s="269" t="n">
        <x:f>E18</x:f>
        <x:v>0.6267509481668773</x:v>
      </x:c>
      <x:c r="F20" s="271"/>
      <x:c r="G20" s="271"/>
      <x:c r="H20" s="269" t="n">
        <x:f>I18</x:f>
        <x:v>0.5737853107344633</x:v>
      </x:c>
      <x:c r="I20" s="269" t="n">
        <x:f>I18</x:f>
        <x:v>0.5737853107344633</x:v>
      </x:c>
      <x:c r="J20" s="57"/>
      <x:c r="K20" s="57"/>
      <x:c r="L20" s="57"/>
      <x:c r="M20" s="57"/>
      <x:c r="N20" s="57"/>
      <x:c r="O20" s="57"/>
      <x:c r="P20" s="57"/>
      <x:c r="Q20" s="57"/>
      <x:c r="R20" s="57"/>
      <x:c r="S20" s="57"/>
      <x:c r="T20" s="57"/>
      <x:c r="U20" s="57"/>
      <x:c r="V20" s="57"/>
      <x:c r="W20" s="57"/>
      <x:c r="X20" s="57"/>
      <x:c r="Y20" s="57"/>
      <x:c r="Z20" s="57"/>
    </x:row>
    <x:row r="21">
      <x:c r="A21" s="61" t="str">
        <x:v>Сэкономлено труда поддержки / операторов, ч/год</x:v>
      </x:c>
      <x:c r="B21" s="257" t="n">
        <x:f>B8</x:f>
        <x:v>17520</x:v>
      </x:c>
      <x:c r="C21" s="257" t="n">
        <x:f>C8</x:f>
        <x:v>7008.000000000001</x:v>
      </x:c>
      <x:c r="D21" s="258" t="n">
        <x:f>D8</x:f>
        <x:v>10512</x:v>
      </x:c>
      <x:c r="E21" s="259" t="n">
        <x:f>E8</x:f>
        <x:v>0.6</x:v>
      </x:c>
      <x:c r="F21" s="257" t="n">
        <x:f>F8</x:f>
        <x:v>8760</x:v>
      </x:c>
      <x:c r="G21" s="257" t="n">
        <x:f>G8</x:f>
        <x:v>4380</x:v>
      </x:c>
      <x:c r="H21" s="258" t="n">
        <x:f>H8</x:f>
        <x:v>4380</x:v>
      </x:c>
      <x:c r="I21" s="259" t="n">
        <x:f>I8</x:f>
        <x:v>0.5</x:v>
      </x:c>
      <x:c r="J21" s="57"/>
      <x:c r="K21" s="57"/>
      <x:c r="L21" s="57"/>
      <x:c r="M21" s="57"/>
      <x:c r="N21" s="57"/>
      <x:c r="O21" s="57"/>
      <x:c r="P21" s="57"/>
      <x:c r="Q21" s="57"/>
      <x:c r="R21" s="57"/>
      <x:c r="S21" s="57"/>
      <x:c r="T21" s="57"/>
      <x:c r="U21" s="57"/>
      <x:c r="V21" s="57"/>
      <x:c r="W21" s="57"/>
      <x:c r="X21" s="57"/>
      <x:c r="Y21" s="57"/>
      <x:c r="Z21" s="57"/>
    </x:row>
    <x:row r="22">
      <x:c r="A22" s="61" t="str">
        <x:v>Сэкономлено времени проектной команды, ч/год</x:v>
      </x:c>
      <x:c r="B22" s="257" t="n">
        <x:f>B16</x:f>
        <x:v>160</x:v>
      </x:c>
      <x:c r="C22" s="257" t="n">
        <x:f>C16</x:f>
        <x:v>32</x:v>
      </x:c>
      <x:c r="D22" s="258" t="n">
        <x:f>D16</x:f>
        <x:v>128</x:v>
      </x:c>
      <x:c r="E22" s="259" t="n">
        <x:f>E16</x:f>
        <x:v>0.8</x:v>
      </x:c>
      <x:c r="F22" s="257" t="n">
        <x:f>F16</x:f>
        <x:v>80</x:v>
      </x:c>
      <x:c r="G22" s="257" t="n">
        <x:f>G16</x:f>
        <x:v>16</x:v>
      </x:c>
      <x:c r="H22" s="258" t="n">
        <x:f>H16</x:f>
        <x:v>64</x:v>
      </x:c>
      <x:c r="I22" s="259" t="n">
        <x:f>I16</x:f>
        <x:v>0.8</x:v>
      </x:c>
      <x:c r="J22" s="57"/>
      <x:c r="K22" s="57"/>
      <x:c r="L22" s="57"/>
      <x:c r="M22" s="57"/>
      <x:c r="N22" s="57"/>
      <x:c r="O22" s="57"/>
      <x:c r="P22" s="57"/>
      <x:c r="Q22" s="57"/>
      <x:c r="R22" s="57"/>
      <x:c r="S22" s="57"/>
      <x:c r="T22" s="57"/>
      <x:c r="U22" s="57"/>
      <x:c r="V22" s="57"/>
      <x:c r="W22" s="57"/>
      <x:c r="X22" s="57"/>
      <x:c r="Y22" s="57"/>
      <x:c r="Z22" s="57"/>
    </x:row>
    <x:row r="23">
      <x:c r="A23" s="61" t="str">
        <x:v>Сокращение задержки простоев, мин/год</x:v>
      </x:c>
      <x:c r="B23" s="262" t="n">
        <x:f>B10*B12</x:f>
        <x:v>42</x:v>
      </x:c>
      <x:c r="C23" s="262" t="n">
        <x:f>C10*C12</x:f>
        <x:v>12</x:v>
      </x:c>
      <x:c r="D23" s="263" t="n">
        <x:f>B23-C23</x:f>
        <x:v>30</x:v>
      </x:c>
      <x:c r="E23" s="259" t="n">
        <x:f>D23/B23</x:f>
        <x:v>0.7142857142857143</x:v>
      </x:c>
      <x:c r="F23" s="262" t="n">
        <x:f>F10*F12</x:f>
        <x:v>84</x:v>
      </x:c>
      <x:c r="G23" s="262" t="n">
        <x:f>G10*G12</x:f>
        <x:v>24</x:v>
      </x:c>
      <x:c r="H23" s="263" t="n">
        <x:f>F23-G23</x:f>
        <x:v>60</x:v>
      </x:c>
      <x:c r="I23" s="259" t="n">
        <x:f>H23/F23</x:f>
        <x:v>0.7142857142857143</x:v>
      </x:c>
      <x:c r="J23" s="57"/>
      <x:c r="K23" s="57"/>
      <x:c r="L23" s="57"/>
      <x:c r="M23" s="57"/>
      <x:c r="N23" s="57"/>
      <x:c r="O23" s="57"/>
      <x:c r="P23" s="57"/>
      <x:c r="Q23" s="57"/>
      <x:c r="R23" s="57"/>
      <x:c r="S23" s="57"/>
      <x:c r="T23" s="57"/>
      <x:c r="U23" s="57"/>
      <x:c r="V23" s="57"/>
      <x:c r="W23" s="57"/>
      <x:c r="X23" s="57"/>
      <x:c r="Y23" s="57"/>
      <x:c r="Z23" s="57"/>
    </x:row>
    <x:row r="24">
      <x:c r="A24" s="61" t="str">
        <x:v>Адресаты P0, чел.</x:v>
      </x:c>
      <x:c r="B24" s="257" t="n">
        <x:f>'Допущения'!$C$40</x:f>
        <x:v>200</x:v>
      </x:c>
      <x:c r="C24" s="257" t="n">
        <x:f>'Допущения'!$C$41</x:f>
        <x:v>2</x:v>
      </x:c>
      <x:c r="D24" s="258" t="n">
        <x:f>B24-C24</x:f>
        <x:v>198</x:v>
      </x:c>
      <x:c r="E24" s="259" t="n">
        <x:f>D24/B24</x:f>
        <x:v>0.99</x:v>
      </x:c>
      <x:c r="F24" s="257" t="n">
        <x:f>'Допущения'!$C$54</x:f>
        <x:v>50</x:v>
      </x:c>
      <x:c r="G24" s="257" t="n">
        <x:f>'Допущения'!$C$55</x:f>
        <x:v>2</x:v>
      </x:c>
      <x:c r="H24" s="258" t="n">
        <x:f>F24-G24</x:f>
        <x:v>48</x:v>
      </x:c>
      <x:c r="I24" s="259" t="n">
        <x:f>H24/F24</x:f>
        <x:v>0.96</x:v>
      </x:c>
      <x:c r="J24" s="57"/>
      <x:c r="K24" s="57"/>
      <x:c r="L24" s="57"/>
      <x:c r="M24" s="57"/>
      <x:c r="N24" s="57"/>
      <x:c r="O24" s="57"/>
      <x:c r="P24" s="57"/>
      <x:c r="Q24" s="57"/>
      <x:c r="R24" s="57"/>
      <x:c r="S24" s="57"/>
      <x:c r="T24" s="57"/>
      <x:c r="U24" s="57"/>
      <x:c r="V24" s="57"/>
      <x:c r="W24" s="57"/>
      <x:c r="X24" s="57"/>
      <x:c r="Y24" s="57"/>
      <x:c r="Z24" s="57"/>
    </x:row>
    <x:row r="25">
      <x:c r="A25" s="61" t="str">
        <x:v>Сокращение адресатов P0, %</x:v>
      </x:c>
      <x:c r="B25" s="272"/>
      <x:c r="C25" s="272"/>
      <x:c r="D25" s="259" t="n">
        <x:f>E24</x:f>
        <x:v>0.99</x:v>
      </x:c>
      <x:c r="E25" s="259" t="n">
        <x:f>E24</x:f>
        <x:v>0.99</x:v>
      </x:c>
      <x:c r="F25" s="272"/>
      <x:c r="G25" s="272"/>
      <x:c r="H25" s="259" t="n">
        <x:f>I24</x:f>
        <x:v>0.96</x:v>
      </x:c>
      <x:c r="I25" s="259" t="n">
        <x:f>I24</x:f>
        <x:v>0.96</x:v>
      </x:c>
      <x:c r="J25" s="57"/>
      <x:c r="K25" s="57"/>
      <x:c r="L25" s="57"/>
      <x:c r="M25" s="57"/>
      <x:c r="N25" s="57"/>
      <x:c r="O25" s="57"/>
      <x:c r="P25" s="57"/>
      <x:c r="Q25" s="57"/>
      <x:c r="R25" s="57"/>
      <x:c r="S25" s="57"/>
      <x:c r="T25" s="57"/>
      <x:c r="U25" s="57"/>
      <x:c r="V25" s="57"/>
      <x:c r="W25" s="57"/>
      <x:c r="X25" s="57"/>
      <x:c r="Y25" s="57"/>
      <x:c r="Z25" s="57"/>
    </x:row>
    <x:row r="26">
      <x:c r="A26" s="61" t="str">
        <x:v>Цель кейса по трудозатратам, ₽/год</x:v>
      </x:c>
      <x:c r="B26" s="260" t="n">
        <x:f>'Допущения'!$C$26*4</x:f>
        <x:v>4400000</x:v>
      </x:c>
      <x:c r="C26" s="260"/>
      <x:c r="D26" s="261" t="n">
        <x:f>D9</x:f>
        <x:v>21024000</x:v>
      </x:c>
      <x:c r="E26" s="273" t="n">
        <x:f>D26/B26</x:f>
        <x:v>4.778181818181818</x:v>
      </x:c>
      <x:c r="F26" s="257"/>
      <x:c r="G26" s="257"/>
      <x:c r="H26" s="258"/>
      <x:c r="I26" s="258"/>
      <x:c r="J26" s="57"/>
      <x:c r="K26" s="57"/>
      <x:c r="L26" s="57"/>
      <x:c r="M26" s="57"/>
      <x:c r="N26" s="57"/>
      <x:c r="O26" s="57"/>
      <x:c r="P26" s="57"/>
      <x:c r="Q26" s="57"/>
      <x:c r="R26" s="57"/>
      <x:c r="S26" s="57"/>
      <x:c r="T26" s="57"/>
      <x:c r="U26" s="57"/>
      <x:c r="V26" s="57"/>
      <x:c r="W26" s="57"/>
      <x:c r="X26" s="57"/>
      <x:c r="Y26" s="57"/>
      <x:c r="Z26" s="57"/>
    </x:row>
    <x:row r="27">
      <x:c r="A27" s="61" t="str">
        <x:v>Превышение цели кейса по трудозатратам, ₽/год</x:v>
      </x:c>
      <x:c r="B27" s="260" t="n">
        <x:f>D9</x:f>
        <x:v>21024000</x:v>
      </x:c>
      <x:c r="C27" s="260" t="n">
        <x:f>B26</x:f>
        <x:v>4400000</x:v>
      </x:c>
      <x:c r="D27" s="261" t="n">
        <x:f>B27-C27</x:f>
        <x:v>16624000</x:v>
      </x:c>
      <x:c r="E27" s="259" t="n">
        <x:f>D27/B26</x:f>
        <x:v>3.7781818181818183</x:v>
      </x:c>
      <x:c r="F27" s="257"/>
      <x:c r="G27" s="257"/>
      <x:c r="H27" s="258"/>
      <x:c r="I27" s="258"/>
      <x:c r="J27" s="57"/>
      <x:c r="K27" s="57"/>
      <x:c r="L27" s="57"/>
      <x:c r="M27" s="57"/>
      <x:c r="N27" s="57"/>
      <x:c r="O27" s="57"/>
      <x:c r="P27" s="57"/>
      <x:c r="Q27" s="57"/>
      <x:c r="R27" s="57"/>
      <x:c r="S27" s="57"/>
      <x:c r="T27" s="57"/>
      <x:c r="U27" s="57"/>
      <x:c r="V27" s="57"/>
      <x:c r="W27" s="57"/>
      <x:c r="X27" s="57"/>
      <x:c r="Y27" s="57"/>
      <x:c r="Z27" s="57"/>
    </x:row>
    <x:row r="28">
      <x:c r="A28" s="61"/>
      <x:c r="B28" s="61"/>
      <x:c r="C28" s="61"/>
      <x:c r="D28" s="61"/>
      <x:c r="E28" s="61"/>
      <x:c r="F28" s="61"/>
      <x:c r="G28" s="61"/>
      <x:c r="H28" s="61"/>
      <x:c r="I28" s="61"/>
      <x:c r="J28" s="57"/>
      <x:c r="K28" s="57"/>
      <x:c r="L28" s="57"/>
      <x:c r="M28" s="57"/>
      <x:c r="N28" s="57"/>
      <x:c r="O28" s="57"/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>
      <x:c r="A29" s="67" t="str">
        <x:v>Проектный бюджет и ежегодные эксплуатационные расходы</x:v>
      </x:c>
      <x:c r="B29" s="67"/>
      <x:c r="C29" s="67"/>
      <x:c r="D29" s="67"/>
      <x:c r="E29" s="67"/>
      <x:c r="F29" s="67"/>
      <x:c r="G29" s="67"/>
      <x:c r="H29" s="67"/>
      <x:c r="I29" s="67"/>
      <x:c r="J29" s="57"/>
      <x:c r="K29" s="57"/>
      <x:c r="L29" s="57"/>
      <x:c r="M29" s="57"/>
      <x:c r="N29" s="57"/>
      <x:c r="O29" s="57"/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>
      <x:c r="A30" s="60" t="str">
        <x:v>Статья</x:v>
      </x:c>
      <x:c r="B30" s="60" t="str">
        <x:v>Сумма</x:v>
      </x:c>
      <x:c r="C30" s="61"/>
      <x:c r="D30" s="60" t="str">
        <x:v>Сценарий</x:v>
      </x:c>
      <x:c r="E30" s="60" t="str">
        <x:v>Затраты без системы</x:v>
      </x:c>
      <x:c r="F30" s="60" t="str">
        <x:v>Затраты с системой</x:v>
      </x:c>
      <x:c r="G30" s="60" t="str">
        <x:v>Чистая экономия / год</x:v>
      </x:c>
      <x:c r="H30" s="60" t="str">
        <x:v>Экономия, %</x:v>
      </x:c>
      <x:c r="I30" s="60" t="str">
        <x:v>Простой сэкономлен, мин/год</x:v>
      </x:c>
      <x:c r="J30" s="57"/>
      <x:c r="K30" s="57"/>
      <x:c r="L30" s="57"/>
      <x:c r="M30" s="57"/>
      <x:c r="N30" s="57"/>
      <x:c r="O30" s="57"/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>
      <x:c r="A31" s="61" t="str">
        <x:v>Команда проекта</x:v>
      </x:c>
      <x:c r="B31" s="261" t="n">
        <x:f>'Допущения'!$C$11*'Допущения'!$C$12*'Допущения'!$C$13*'Допущения'!$C$10</x:f>
        <x:v>16800000</x:v>
      </x:c>
      <x:c r="C31" s="61"/>
      <x:c r="D31" s="61" t="str">
        <x:v>Студенты</x:v>
      </x:c>
      <x:c r="E31" s="261" t="n">
        <x:f>B18</x:f>
        <x:v>45200000</x:v>
      </x:c>
      <x:c r="F31" s="261" t="n">
        <x:f>C18+$B$43</x:f>
        <x:v>18380857.142857146</x:v>
      </x:c>
      <x:c r="G31" s="261" t="n">
        <x:f>E31-F31</x:f>
        <x:v>26819142.857142854</x:v>
      </x:c>
      <x:c r="H31" s="259" t="n">
        <x:f>G31/E31</x:f>
        <x:v>0.5933438685208596</x:v>
      </x:c>
      <x:c r="I31" s="263" t="n">
        <x:f>D23</x:f>
        <x:v>30</x:v>
      </x:c>
      <x:c r="J31" s="57"/>
      <x:c r="K31" s="57"/>
      <x:c r="L31" s="57"/>
      <x:c r="M31" s="57"/>
      <x:c r="N31" s="57"/>
      <x:c r="O31" s="57"/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>
      <x:c r="A32" s="61" t="str">
        <x:v>Инфраструктура</x:v>
      </x:c>
      <x:c r="B32" s="261" t="n">
        <x:f>'Допущения'!$C$14</x:f>
        <x:v>1750000</x:v>
      </x:c>
      <x:c r="C32" s="61"/>
      <x:c r="D32" s="61" t="str">
        <x:v>НПЗ / МС</x:v>
      </x:c>
      <x:c r="E32" s="261" t="n">
        <x:f>F18</x:f>
        <x:v>26550000</x:v>
      </x:c>
      <x:c r="F32" s="261" t="n">
        <x:f>G18+$B$43</x:f>
        <x:v>12826000</x:v>
      </x:c>
      <x:c r="G32" s="261" t="n">
        <x:f>E32-F32</x:f>
        <x:v>13724000</x:v>
      </x:c>
      <x:c r="H32" s="259" t="n">
        <x:f>G32/E32</x:f>
        <x:v>0.5169114877589454</x:v>
      </x:c>
      <x:c r="I32" s="263" t="n">
        <x:f>H23</x:f>
        <x:v>60</x:v>
      </x:c>
      <x:c r="J32" s="57"/>
      <x:c r="K32" s="57"/>
      <x:c r="L32" s="57"/>
      <x:c r="M32" s="57"/>
      <x:c r="N32" s="57"/>
      <x:c r="O32" s="57"/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>
      <x:c r="A33" s="61" t="str">
        <x:v>GPU исходной сметы</x:v>
      </x:c>
      <x:c r="B33" s="261" t="n">
        <x:f>'Допущения'!$C$15</x:f>
        <x:v>400000</x:v>
      </x:c>
      <x:c r="C33" s="61"/>
      <x:c r="D33" s="61"/>
      <x:c r="E33" s="61"/>
      <x:c r="F33" s="61"/>
      <x:c r="G33" s="61"/>
      <x:c r="H33" s="61"/>
      <x:c r="I33" s="61"/>
      <x:c r="J33" s="57"/>
      <x:c r="K33" s="57"/>
      <x:c r="L33" s="57"/>
      <x:c r="M33" s="57"/>
      <x:c r="N33" s="57"/>
      <x:c r="O33" s="57"/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>
      <x:c r="A34" s="61" t="str">
        <x:v>Оптимизация GPU</x:v>
      </x:c>
      <x:c r="B34" s="261" t="n">
        <x:f>'Допущения'!$C$16</x:f>
        <x:v>200000</x:v>
      </x:c>
      <x:c r="C34" s="61"/>
      <x:c r="D34" s="61"/>
      <x:c r="E34" s="61"/>
      <x:c r="F34" s="61"/>
      <x:c r="G34" s="61"/>
      <x:c r="H34" s="61"/>
      <x:c r="I34" s="61"/>
      <x:c r="J34" s="57"/>
      <x:c r="K34" s="57"/>
      <x:c r="L34" s="57"/>
      <x:c r="M34" s="57"/>
      <x:c r="N34" s="57"/>
      <x:c r="O34" s="57"/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>
      <x:c r="A35" s="61" t="str">
        <x:v>GPU в проекте после оптимизации</x:v>
      </x:c>
      <x:c r="B35" s="261" t="n">
        <x:f>'Допущения'!$C$17*'Допущения'!$C$18</x:f>
        <x:v>200000</x:v>
      </x:c>
      <x:c r="C35" s="61"/>
      <x:c r="D35" s="61"/>
      <x:c r="E35" s="61"/>
      <x:c r="F35" s="61"/>
      <x:c r="G35" s="61"/>
      <x:c r="H35" s="61"/>
      <x:c r="I35" s="61"/>
      <x:c r="J35" s="57"/>
      <x:c r="K35" s="57"/>
      <x:c r="L35" s="57"/>
      <x:c r="M35" s="57"/>
      <x:c r="N35" s="57"/>
      <x:c r="O35" s="57"/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>
      <x:c r="A36" s="61" t="str">
        <x:v>Интеграция и обучение</x:v>
      </x:c>
      <x:c r="B36" s="261" t="n">
        <x:f>'Допущения'!$C$19</x:f>
        <x:v>300000</x:v>
      </x:c>
      <x:c r="C36" s="61"/>
      <x:c r="D36" s="61"/>
      <x:c r="E36" s="61"/>
      <x:c r="F36" s="61"/>
      <x:c r="G36" s="61"/>
      <x:c r="H36" s="61"/>
      <x:c r="I36" s="61"/>
      <x:c r="J36" s="57"/>
      <x:c r="K36" s="57"/>
      <x:c r="L36" s="57"/>
      <x:c r="M36" s="57"/>
      <x:c r="N36" s="57"/>
      <x:c r="O36" s="57"/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>
      <x:c r="A37" s="61" t="str">
        <x:v>Подытог</x:v>
      </x:c>
      <x:c r="B37" s="261" t="n">
        <x:f>SUM(B31:B32)+B35+B36</x:f>
        <x:v>19050000</x:v>
      </x:c>
      <x:c r="C37" s="61"/>
      <x:c r="D37" s="61"/>
      <x:c r="E37" s="61"/>
      <x:c r="F37" s="61"/>
      <x:c r="G37" s="61"/>
      <x:c r="H37" s="61"/>
      <x:c r="I37" s="61"/>
      <x:c r="J37" s="57"/>
      <x:c r="K37" s="57"/>
      <x:c r="L37" s="57"/>
      <x:c r="M37" s="57"/>
      <x:c r="N37" s="57"/>
      <x:c r="O37" s="57"/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>
      <x:c r="A38" s="61" t="str">
        <x:v>Резерв бюджета</x:v>
      </x:c>
      <x:c r="B38" s="261" t="n">
        <x:f>B37*'Допущения'!$C$20</x:f>
        <x:v>1905000</x:v>
      </x:c>
      <x:c r="C38" s="61"/>
      <x:c r="D38" s="61"/>
      <x:c r="E38" s="61"/>
      <x:c r="F38" s="61"/>
      <x:c r="G38" s="61"/>
      <x:c r="H38" s="61"/>
      <x:c r="I38" s="61"/>
      <x:c r="J38" s="57"/>
      <x:c r="K38" s="57"/>
      <x:c r="L38" s="57"/>
      <x:c r="M38" s="57"/>
      <x:c r="N38" s="57"/>
      <x:c r="O38" s="57"/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>
      <x:c r="A39" s="234" t="str">
        <x:v>ИТОГО первоначальные инвестиции</x:v>
      </x:c>
      <x:c r="B39" s="65" t="n">
        <x:f>B37+B38</x:f>
        <x:v>20955000</x:v>
      </x:c>
      <x:c r="C39" s="61"/>
      <x:c r="D39" s="61"/>
      <x:c r="E39" s="61"/>
      <x:c r="F39" s="61"/>
      <x:c r="G39" s="61"/>
      <x:c r="H39" s="61"/>
      <x:c r="I39" s="61"/>
      <x:c r="J39" s="57"/>
      <x:c r="K39" s="57"/>
      <x:c r="L39" s="57"/>
      <x:c r="M39" s="57"/>
      <x:c r="N39" s="57"/>
      <x:c r="O39" s="57"/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>
      <x:c r="A40" s="61" t="str">
        <x:v>Сопровождение, ₽/год</x:v>
      </x:c>
      <x:c r="B40" s="261" t="n">
        <x:f>'Допущения'!$C$21*12*'Допущения'!$C$9</x:f>
        <x:v>960000</x:v>
      </x:c>
      <x:c r="C40" s="61"/>
      <x:c r="D40" s="61"/>
      <x:c r="E40" s="61"/>
      <x:c r="F40" s="61"/>
      <x:c r="G40" s="61"/>
      <x:c r="H40" s="61"/>
      <x:c r="I40" s="61"/>
      <x:c r="J40" s="57"/>
      <x:c r="K40" s="57"/>
      <x:c r="L40" s="57"/>
      <x:c r="M40" s="57"/>
      <x:c r="N40" s="57"/>
      <x:c r="O40" s="57"/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>
      <x:c r="A41" s="61" t="str">
        <x:v>Эксплуатация инфраструктуры, ₽/год</x:v>
      </x:c>
      <x:c r="B41" s="261" t="n">
        <x:f>'Допущения'!$C$22</x:f>
        <x:v>300000</x:v>
      </x:c>
      <x:c r="C41" s="61"/>
      <x:c r="D41" s="61"/>
      <x:c r="E41" s="61"/>
      <x:c r="F41" s="61"/>
      <x:c r="G41" s="61"/>
      <x:c r="H41" s="61"/>
      <x:c r="I41" s="61"/>
      <x:c r="J41" s="57"/>
      <x:c r="K41" s="57"/>
      <x:c r="L41" s="57"/>
      <x:c r="M41" s="57"/>
      <x:c r="N41" s="57"/>
      <x:c r="O41" s="57"/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>
      <x:c r="A42" s="61" t="str">
        <x:v>Лицензии / вендорская поддержка, ₽/год</x:v>
      </x:c>
      <x:c r="B42" s="261" t="n">
        <x:f>'Допущения'!$C$23</x:f>
        <x:v>250000</x:v>
      </x:c>
      <x:c r="C42" s="61"/>
      <x:c r="D42" s="61"/>
      <x:c r="E42" s="61"/>
      <x:c r="F42" s="61"/>
      <x:c r="G42" s="61"/>
      <x:c r="H42" s="61"/>
      <x:c r="I42" s="61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>
      <x:c r="A43" s="274" t="str">
        <x:v>ИТОГО эксплуатационные расходы, ₽/год</x:v>
      </x:c>
      <x:c r="B43" s="275" t="n">
        <x:f>SUM(B40:B42)</x:f>
        <x:v>1510000</x:v>
      </x:c>
      <x:c r="C43" s="61"/>
      <x:c r="D43" s="61"/>
      <x:c r="E43" s="61"/>
      <x:c r="F43" s="61"/>
      <x:c r="G43" s="61"/>
      <x:c r="H43" s="61"/>
      <x:c r="I43" s="61"/>
      <x:c r="J43" s="57"/>
      <x:c r="K43" s="57"/>
      <x:c r="L43" s="57"/>
      <x:c r="M43" s="57"/>
      <x:c r="N43" s="57"/>
      <x:c r="O43" s="57"/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>
      <x:c r="A44" s="57"/>
      <x:c r="B44" s="57"/>
      <x:c r="C44" s="57"/>
      <x:c r="D44" s="57"/>
      <x:c r="E44" s="57"/>
      <x:c r="F44" s="57"/>
      <x:c r="G44" s="57"/>
      <x:c r="H44" s="57"/>
      <x:c r="I44" s="57"/>
      <x:c r="J44" s="57"/>
      <x:c r="K44" s="57"/>
      <x:c r="L44" s="57"/>
      <x:c r="M44" s="57"/>
      <x:c r="N44" s="57"/>
      <x:c r="O44" s="57"/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>
      <x:c r="A45" s="57"/>
      <x:c r="B45" s="57"/>
      <x:c r="C45" s="57"/>
      <x:c r="D45" s="57"/>
      <x:c r="E45" s="57"/>
      <x:c r="F45" s="57"/>
      <x:c r="G45" s="57"/>
      <x:c r="H45" s="57"/>
      <x:c r="I45" s="57"/>
      <x:c r="J45" s="57"/>
      <x:c r="K45" s="57"/>
      <x:c r="L45" s="57"/>
      <x:c r="M45" s="57"/>
      <x:c r="N45" s="57"/>
      <x:c r="O45" s="57"/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>
      <x:c r="A46" s="57"/>
      <x:c r="B46" s="57"/>
      <x:c r="C46" s="57"/>
      <x:c r="D46" s="57"/>
      <x:c r="E46" s="57"/>
      <x:c r="F46" s="57"/>
      <x:c r="G46" s="57"/>
      <x:c r="H46" s="57"/>
      <x:c r="I46" s="57"/>
      <x:c r="J46" s="57"/>
      <x:c r="K46" s="57"/>
      <x:c r="L46" s="57"/>
      <x:c r="M46" s="57"/>
      <x:c r="N46" s="57"/>
      <x:c r="O46" s="57"/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>
      <x:c r="A47" s="57"/>
      <x:c r="B47" s="57"/>
      <x:c r="C47" s="57"/>
      <x:c r="D47" s="57"/>
      <x:c r="E47" s="57"/>
      <x:c r="F47" s="57"/>
      <x:c r="G47" s="57"/>
      <x:c r="H47" s="57"/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>
      <x:c r="A48" s="57"/>
      <x:c r="B48" s="57"/>
      <x:c r="C48" s="57"/>
      <x:c r="D48" s="57"/>
      <x:c r="E48" s="57"/>
      <x:c r="F48" s="57"/>
      <x:c r="G48" s="57"/>
      <x:c r="H48" s="57"/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>
      <x:c r="A49" s="57"/>
      <x:c r="B49" s="57"/>
      <x:c r="C49" s="57"/>
      <x:c r="D49" s="57"/>
      <x:c r="E49" s="57"/>
      <x:c r="F49" s="57"/>
      <x:c r="G49" s="57"/>
      <x:c r="H49" s="57"/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>
      <x:c r="A50" s="57"/>
      <x:c r="B50" s="57"/>
      <x:c r="C50" s="57"/>
      <x:c r="D50" s="57"/>
      <x:c r="E50" s="57"/>
      <x:c r="F50" s="57"/>
      <x:c r="G50" s="57"/>
      <x:c r="H50" s="57"/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>
      <x:c r="A51" s="57"/>
      <x:c r="B51" s="57"/>
      <x:c r="C51" s="57"/>
      <x:c r="D51" s="57"/>
      <x:c r="E51" s="57"/>
      <x:c r="F51" s="57"/>
      <x:c r="G51" s="57"/>
      <x:c r="H51" s="57"/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>
      <x:c r="A52" s="57"/>
      <x:c r="B52" s="57"/>
      <x:c r="C52" s="57"/>
      <x:c r="D52" s="57"/>
      <x:c r="E52" s="57"/>
      <x:c r="F52" s="57"/>
      <x:c r="G52" s="57"/>
      <x:c r="H52" s="57"/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>
      <x:c r="A53" s="57"/>
      <x:c r="B53" s="57"/>
      <x:c r="C53" s="57"/>
      <x:c r="D53" s="57"/>
      <x:c r="E53" s="57"/>
      <x:c r="F53" s="57"/>
      <x:c r="G53" s="57"/>
      <x:c r="H53" s="57"/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>
      <x:c r="A54" s="57"/>
      <x:c r="B54" s="57"/>
      <x:c r="C54" s="57"/>
      <x:c r="D54" s="57"/>
      <x:c r="E54" s="57"/>
      <x:c r="F54" s="57"/>
      <x:c r="G54" s="57"/>
      <x:c r="H54" s="57"/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>
      <x:c r="A55" s="57"/>
      <x:c r="B55" s="57"/>
      <x:c r="C55" s="57"/>
      <x:c r="D55" s="57"/>
      <x:c r="E55" s="57"/>
      <x:c r="F55" s="57"/>
      <x:c r="G55" s="57"/>
      <x:c r="H55" s="57"/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>
      <x:c r="A56" s="57"/>
      <x:c r="B56" s="57"/>
      <x:c r="C56" s="57"/>
      <x:c r="D56" s="57"/>
      <x:c r="E56" s="57"/>
      <x:c r="F56" s="57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>
      <x:c r="A57" s="57"/>
      <x:c r="B57" s="57"/>
      <x:c r="C57" s="57"/>
      <x:c r="D57" s="57"/>
      <x:c r="E57" s="57"/>
      <x:c r="F57" s="57"/>
      <x:c r="G57" s="57"/>
      <x:c r="H57" s="57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>
      <x:c r="A58" s="57"/>
      <x:c r="B58" s="57"/>
      <x:c r="C58" s="57"/>
      <x:c r="D58" s="57"/>
      <x:c r="E58" s="57"/>
      <x:c r="F58" s="57"/>
      <x:c r="G58" s="57"/>
      <x:c r="H58" s="57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>
      <x:c r="A59" s="57"/>
      <x:c r="B59" s="57"/>
      <x:c r="C59" s="57"/>
      <x:c r="D59" s="57"/>
      <x:c r="E59" s="57"/>
      <x:c r="F59" s="57"/>
      <x:c r="G59" s="57"/>
      <x:c r="H59" s="57"/>
      <x:c r="I59" s="57"/>
      <x:c r="J59" s="57"/>
      <x:c r="K59" s="57"/>
      <x:c r="L59" s="57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>
      <x:c r="A60" s="57"/>
      <x:c r="B60" s="57"/>
      <x:c r="C60" s="57"/>
      <x:c r="D60" s="57"/>
      <x:c r="E60" s="57"/>
      <x:c r="F60" s="57"/>
      <x:c r="G60" s="57"/>
      <x:c r="H60" s="57"/>
      <x:c r="I60" s="57"/>
      <x:c r="J60" s="57"/>
      <x:c r="K60" s="57"/>
      <x:c r="L60" s="57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>
      <x:c r="A61" s="57"/>
      <x:c r="B61" s="57"/>
      <x:c r="C61" s="57"/>
      <x:c r="D61" s="57"/>
      <x:c r="E61" s="57"/>
      <x:c r="F61" s="57"/>
      <x:c r="G61" s="57"/>
      <x:c r="H61" s="57"/>
      <x:c r="I61" s="57"/>
      <x:c r="J61" s="57"/>
      <x:c r="K61" s="57"/>
      <x:c r="L61" s="57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>
      <x:c r="A62" s="57"/>
      <x:c r="B62" s="57"/>
      <x:c r="C62" s="57"/>
      <x:c r="D62" s="57"/>
      <x:c r="E62" s="57"/>
      <x:c r="F62" s="57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>
      <x:c r="A63" s="57"/>
      <x:c r="B63" s="57"/>
      <x:c r="C63" s="57"/>
      <x:c r="D63" s="57"/>
      <x:c r="E63" s="57"/>
      <x:c r="F63" s="57"/>
      <x:c r="G63" s="57"/>
      <x:c r="H63" s="57"/>
      <x:c r="I63" s="57"/>
      <x:c r="J63" s="57"/>
      <x:c r="K63" s="57"/>
      <x:c r="L63" s="57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>
      <x:c r="A64" s="57"/>
      <x:c r="B64" s="57"/>
      <x:c r="C64" s="57"/>
      <x:c r="D64" s="57"/>
      <x:c r="E64" s="57"/>
      <x:c r="F64" s="57"/>
      <x:c r="G64" s="57"/>
      <x:c r="H64" s="57"/>
      <x:c r="I64" s="57"/>
      <x:c r="J64" s="57"/>
      <x:c r="K64" s="57"/>
      <x:c r="L64" s="57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>
      <x:c r="A65" s="57"/>
      <x:c r="B65" s="57"/>
      <x:c r="C65" s="57"/>
      <x:c r="D65" s="57"/>
      <x:c r="E65" s="57"/>
      <x:c r="F65" s="57"/>
      <x:c r="G65" s="57"/>
      <x:c r="H65" s="57"/>
      <x:c r="I65" s="57"/>
      <x:c r="J65" s="57"/>
      <x:c r="K65" s="57"/>
      <x:c r="L65" s="57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>
      <x:c r="A66" s="57"/>
      <x:c r="B66" s="57"/>
      <x:c r="C66" s="57"/>
      <x:c r="D66" s="57"/>
      <x:c r="E66" s="57"/>
      <x:c r="F66" s="57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>
      <x:c r="A67" s="57"/>
      <x:c r="B67" s="57"/>
      <x:c r="C67" s="57"/>
      <x:c r="D67" s="57"/>
      <x:c r="E67" s="57"/>
      <x:c r="F67" s="57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>
      <x:c r="A68" s="57"/>
      <x:c r="B68" s="57"/>
      <x:c r="C68" s="57"/>
      <x:c r="D68" s="57"/>
      <x:c r="E68" s="57"/>
      <x:c r="F68" s="57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>
      <x:c r="A69" s="57"/>
      <x:c r="B69" s="57"/>
      <x:c r="C69" s="57"/>
      <x:c r="D69" s="57"/>
      <x:c r="E69" s="57"/>
      <x:c r="F69" s="57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>
      <x:c r="A70" s="57"/>
      <x:c r="B70" s="57"/>
      <x:c r="C70" s="57"/>
      <x:c r="D70" s="57"/>
      <x:c r="E70" s="57"/>
      <x:c r="F70" s="57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>
      <x:c r="A71" s="57"/>
      <x:c r="B71" s="57"/>
      <x:c r="C71" s="57"/>
      <x:c r="D71" s="57"/>
      <x:c r="E71" s="57"/>
      <x:c r="F71" s="57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>
      <x:c r="A72" s="57"/>
      <x:c r="B72" s="57"/>
      <x:c r="C72" s="57"/>
      <x:c r="D72" s="57"/>
      <x:c r="E72" s="57"/>
      <x:c r="F72" s="57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>
      <x:c r="A73" s="57"/>
      <x:c r="B73" s="57"/>
      <x:c r="C73" s="57"/>
      <x:c r="D73" s="57"/>
      <x:c r="E73" s="57"/>
      <x:c r="F73" s="57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>
      <x:c r="A74" s="57"/>
      <x:c r="B74" s="57"/>
      <x:c r="C74" s="57"/>
      <x:c r="D74" s="57"/>
      <x:c r="E74" s="57"/>
      <x:c r="F74" s="57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>
      <x:c r="A75" s="57"/>
      <x:c r="B75" s="57"/>
      <x:c r="C75" s="57"/>
      <x:c r="D75" s="57"/>
      <x:c r="E75" s="57"/>
      <x:c r="F75" s="57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>
      <x:c r="A76" s="57"/>
      <x:c r="B76" s="57"/>
      <x:c r="C76" s="57"/>
      <x:c r="D76" s="57"/>
      <x:c r="E76" s="57"/>
      <x:c r="F76" s="57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>
      <x:c r="A77" s="57"/>
      <x:c r="B77" s="57"/>
      <x:c r="C77" s="57"/>
      <x:c r="D77" s="57"/>
      <x:c r="E77" s="57"/>
      <x:c r="F77" s="57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>
      <x:c r="A78" s="57"/>
      <x:c r="B78" s="57"/>
      <x:c r="C78" s="57"/>
      <x:c r="D78" s="57"/>
      <x:c r="E78" s="57"/>
      <x:c r="F78" s="57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>
      <x:c r="A79" s="57"/>
      <x:c r="B79" s="57"/>
      <x:c r="C79" s="57"/>
      <x:c r="D79" s="57"/>
      <x:c r="E79" s="57"/>
      <x:c r="F79" s="57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>
      <x:c r="A80" s="57"/>
      <x:c r="B80" s="57"/>
      <x:c r="C80" s="57"/>
      <x:c r="D80" s="57"/>
      <x:c r="E80" s="57"/>
      <x:c r="F80" s="57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>
      <x:c r="A81" s="57"/>
      <x:c r="B81" s="57"/>
      <x:c r="C81" s="57"/>
      <x:c r="D81" s="57"/>
      <x:c r="E81" s="57"/>
      <x:c r="F81" s="57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>
      <x:c r="A82" s="57"/>
      <x:c r="B82" s="57"/>
      <x:c r="C82" s="57"/>
      <x:c r="D82" s="57"/>
      <x:c r="E82" s="57"/>
      <x:c r="F82" s="57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>
      <x:c r="A83" s="57"/>
      <x:c r="B83" s="57"/>
      <x:c r="C83" s="57"/>
      <x:c r="D83" s="57"/>
      <x:c r="E83" s="57"/>
      <x:c r="F83" s="57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>
      <x:c r="A84" s="57"/>
      <x:c r="B84" s="57"/>
      <x:c r="C84" s="57"/>
      <x:c r="D84" s="57"/>
      <x:c r="E84" s="57"/>
      <x:c r="F84" s="57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>
      <x:c r="A85" s="57"/>
      <x:c r="B85" s="57"/>
      <x:c r="C85" s="57"/>
      <x:c r="D85" s="57"/>
      <x:c r="E85" s="57"/>
      <x:c r="F85" s="57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>
      <x:c r="A86" s="57"/>
      <x:c r="B86" s="57"/>
      <x:c r="C86" s="57"/>
      <x:c r="D86" s="57"/>
      <x:c r="E86" s="57"/>
      <x:c r="F86" s="57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>
      <x:c r="A87" s="57"/>
      <x:c r="B87" s="57"/>
      <x:c r="C87" s="57"/>
      <x:c r="D87" s="57"/>
      <x:c r="E87" s="57"/>
      <x:c r="F87" s="57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>
      <x:c r="A88" s="57"/>
      <x:c r="B88" s="57"/>
      <x:c r="C88" s="57"/>
      <x:c r="D88" s="57"/>
      <x:c r="E88" s="57"/>
      <x:c r="F88" s="57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>
      <x:c r="A89" s="57"/>
      <x:c r="B89" s="57"/>
      <x:c r="C89" s="57"/>
      <x:c r="D89" s="57"/>
      <x:c r="E89" s="57"/>
      <x:c r="F89" s="57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>
      <x:c r="A90" s="57"/>
      <x:c r="B90" s="57"/>
      <x:c r="C90" s="57"/>
      <x:c r="D90" s="57"/>
      <x:c r="E90" s="57"/>
      <x:c r="F90" s="57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>
      <x:c r="A91" s="57"/>
      <x:c r="B91" s="57"/>
      <x:c r="C91" s="57"/>
      <x:c r="D91" s="57"/>
      <x:c r="E91" s="57"/>
      <x:c r="F91" s="57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>
      <x:c r="A92" s="57"/>
      <x:c r="B92" s="57"/>
      <x:c r="C92" s="57"/>
      <x:c r="D92" s="57"/>
      <x:c r="E92" s="57"/>
      <x:c r="F92" s="57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>
      <x:c r="A93" s="57"/>
      <x:c r="B93" s="57"/>
      <x:c r="C93" s="57"/>
      <x:c r="D93" s="57"/>
      <x:c r="E93" s="57"/>
      <x:c r="F93" s="57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>
      <x:c r="A94" s="57"/>
      <x:c r="B94" s="57"/>
      <x:c r="C94" s="57"/>
      <x:c r="D94" s="57"/>
      <x:c r="E94" s="57"/>
      <x:c r="F94" s="57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>
      <x:c r="A95" s="57"/>
      <x:c r="B95" s="57"/>
      <x:c r="C95" s="57"/>
      <x:c r="D95" s="57"/>
      <x:c r="E95" s="57"/>
      <x:c r="F95" s="57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>
      <x:c r="A96" s="57"/>
      <x:c r="B96" s="57"/>
      <x:c r="C96" s="57"/>
      <x:c r="D96" s="57"/>
      <x:c r="E96" s="57"/>
      <x:c r="F96" s="57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>
      <x:c r="A97" s="57"/>
      <x:c r="B97" s="57"/>
      <x:c r="C97" s="57"/>
      <x:c r="D97" s="57"/>
      <x:c r="E97" s="57"/>
      <x:c r="F97" s="57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>
      <x:c r="A98" s="57"/>
      <x:c r="B98" s="57"/>
      <x:c r="C98" s="57"/>
      <x:c r="D98" s="57"/>
      <x:c r="E98" s="57"/>
      <x:c r="F98" s="57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>
      <x:c r="A99" s="57"/>
      <x:c r="B99" s="57"/>
      <x:c r="C99" s="57"/>
      <x:c r="D99" s="57"/>
      <x:c r="E99" s="57"/>
      <x:c r="F99" s="57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>
      <x:c r="A100" s="57"/>
      <x:c r="B100" s="57"/>
      <x:c r="C100" s="57"/>
      <x:c r="D100" s="57"/>
      <x:c r="E100" s="57"/>
      <x:c r="F100" s="57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>
      <x:c r="A101" s="57"/>
      <x:c r="B101" s="57"/>
      <x:c r="C101" s="57"/>
      <x:c r="D101" s="57"/>
      <x:c r="E101" s="57"/>
      <x:c r="F101" s="57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>
      <x:c r="A102" s="57"/>
      <x:c r="B102" s="57"/>
      <x:c r="C102" s="57"/>
      <x:c r="D102" s="57"/>
      <x:c r="E102" s="57"/>
      <x:c r="F102" s="57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>
      <x:c r="A103" s="57"/>
      <x:c r="B103" s="57"/>
      <x:c r="C103" s="57"/>
      <x:c r="D103" s="57"/>
      <x:c r="E103" s="57"/>
      <x:c r="F103" s="57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>
      <x:c r="A104" s="57"/>
      <x:c r="B104" s="57"/>
      <x:c r="C104" s="57"/>
      <x:c r="D104" s="57"/>
      <x:c r="E104" s="57"/>
      <x:c r="F104" s="57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>
      <x:c r="A105" s="57"/>
      <x:c r="B105" s="57"/>
      <x:c r="C105" s="57"/>
      <x:c r="D105" s="57"/>
      <x:c r="E105" s="57"/>
      <x:c r="F105" s="57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>
      <x:c r="A106" s="57"/>
      <x:c r="B106" s="57"/>
      <x:c r="C106" s="57"/>
      <x:c r="D106" s="57"/>
      <x:c r="E106" s="57"/>
      <x:c r="F106" s="57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>
      <x:c r="A107" s="57"/>
      <x:c r="B107" s="57"/>
      <x:c r="C107" s="57"/>
      <x:c r="D107" s="57"/>
      <x:c r="E107" s="57"/>
      <x:c r="F107" s="57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>
      <x:c r="A108" s="57"/>
      <x:c r="B108" s="57"/>
      <x:c r="C108" s="57"/>
      <x:c r="D108" s="57"/>
      <x:c r="E108" s="57"/>
      <x:c r="F108" s="57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>
      <x:c r="A109" s="57"/>
      <x:c r="B109" s="57"/>
      <x:c r="C109" s="57"/>
      <x:c r="D109" s="57"/>
      <x:c r="E109" s="57"/>
      <x:c r="F109" s="57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>
      <x:c r="A110" s="57"/>
      <x:c r="B110" s="57"/>
      <x:c r="C110" s="57"/>
      <x:c r="D110" s="57"/>
      <x:c r="E110" s="57"/>
      <x:c r="F110" s="57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>
      <x:c r="A111" s="57"/>
      <x:c r="B111" s="57"/>
      <x:c r="C111" s="57"/>
      <x:c r="D111" s="57"/>
      <x:c r="E111" s="57"/>
      <x:c r="F111" s="57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>
      <x:c r="A112" s="57"/>
      <x:c r="B112" s="57"/>
      <x:c r="C112" s="57"/>
      <x:c r="D112" s="57"/>
      <x:c r="E112" s="57"/>
      <x:c r="F112" s="57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>
      <x:c r="A113" s="57"/>
      <x:c r="B113" s="57"/>
      <x:c r="C113" s="57"/>
      <x:c r="D113" s="57"/>
      <x:c r="E113" s="57"/>
      <x:c r="F113" s="57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>
      <x:c r="A114" s="57"/>
      <x:c r="B114" s="57"/>
      <x:c r="C114" s="57"/>
      <x:c r="D114" s="57"/>
      <x:c r="E114" s="57"/>
      <x:c r="F114" s="57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>
      <x:c r="A115" s="57"/>
      <x:c r="B115" s="57"/>
      <x:c r="C115" s="57"/>
      <x:c r="D115" s="57"/>
      <x:c r="E115" s="57"/>
      <x:c r="F115" s="57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>
      <x:c r="A116" s="57"/>
      <x:c r="B116" s="57"/>
      <x:c r="C116" s="57"/>
      <x:c r="D116" s="57"/>
      <x:c r="E116" s="57"/>
      <x:c r="F116" s="57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>
      <x:c r="A117" s="57"/>
      <x:c r="B117" s="57"/>
      <x:c r="C117" s="57"/>
      <x:c r="D117" s="57"/>
      <x:c r="E117" s="57"/>
      <x:c r="F117" s="57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>
      <x:c r="A118" s="57"/>
      <x:c r="B118" s="57"/>
      <x:c r="C118" s="57"/>
      <x:c r="D118" s="57"/>
      <x:c r="E118" s="57"/>
      <x:c r="F118" s="57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>
      <x:c r="A119" s="57"/>
      <x:c r="B119" s="57"/>
      <x:c r="C119" s="57"/>
      <x:c r="D119" s="57"/>
      <x:c r="E119" s="57"/>
      <x:c r="F119" s="57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>
      <x:c r="A120" s="57"/>
      <x:c r="B120" s="57"/>
      <x:c r="C120" s="57"/>
      <x:c r="D120" s="57"/>
      <x:c r="E120" s="57"/>
      <x:c r="F120" s="57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>
      <x:c r="A121" s="57"/>
      <x:c r="B121" s="57"/>
      <x:c r="C121" s="57"/>
      <x:c r="D121" s="57"/>
      <x:c r="E121" s="57"/>
      <x:c r="F121" s="57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>
      <x:c r="A122" s="57"/>
      <x:c r="B122" s="57"/>
      <x:c r="C122" s="57"/>
      <x:c r="D122" s="57"/>
      <x:c r="E122" s="57"/>
      <x:c r="F122" s="57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>
      <x:c r="A123" s="57"/>
      <x:c r="B123" s="57"/>
      <x:c r="C123" s="57"/>
      <x:c r="D123" s="57"/>
      <x:c r="E123" s="57"/>
      <x:c r="F123" s="57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>
      <x:c r="A124" s="57"/>
      <x:c r="B124" s="57"/>
      <x:c r="C124" s="57"/>
      <x:c r="D124" s="57"/>
      <x:c r="E124" s="57"/>
      <x:c r="F124" s="57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>
      <x:c r="A125" s="57"/>
      <x:c r="B125" s="57"/>
      <x:c r="C125" s="57"/>
      <x:c r="D125" s="57"/>
      <x:c r="E125" s="57"/>
      <x:c r="F125" s="57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>
      <x:c r="A126" s="57"/>
      <x:c r="B126" s="57"/>
      <x:c r="C126" s="57"/>
      <x:c r="D126" s="57"/>
      <x:c r="E126" s="57"/>
      <x:c r="F126" s="57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>
      <x:c r="A127" s="57"/>
      <x:c r="B127" s="57"/>
      <x:c r="C127" s="57"/>
      <x:c r="D127" s="57"/>
      <x:c r="E127" s="57"/>
      <x:c r="F127" s="57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>
      <x:c r="A128" s="57"/>
      <x:c r="B128" s="57"/>
      <x:c r="C128" s="57"/>
      <x:c r="D128" s="57"/>
      <x:c r="E128" s="57"/>
      <x:c r="F128" s="57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>
      <x:c r="A129" s="57"/>
      <x:c r="B129" s="57"/>
      <x:c r="C129" s="57"/>
      <x:c r="D129" s="57"/>
      <x:c r="E129" s="57"/>
      <x:c r="F129" s="57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>
      <x:c r="A130" s="57"/>
      <x:c r="B130" s="57"/>
      <x:c r="C130" s="57"/>
      <x:c r="D130" s="57"/>
      <x:c r="E130" s="57"/>
      <x:c r="F130" s="57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>
      <x:c r="A131" s="57"/>
      <x:c r="B131" s="57"/>
      <x:c r="C131" s="57"/>
      <x:c r="D131" s="57"/>
      <x:c r="E131" s="57"/>
      <x:c r="F131" s="57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>
      <x:c r="A132" s="57"/>
      <x:c r="B132" s="57"/>
      <x:c r="C132" s="57"/>
      <x:c r="D132" s="57"/>
      <x:c r="E132" s="57"/>
      <x:c r="F132" s="57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>
      <x:c r="A133" s="57"/>
      <x:c r="B133" s="57"/>
      <x:c r="C133" s="57"/>
      <x:c r="D133" s="57"/>
      <x:c r="E133" s="57"/>
      <x:c r="F133" s="57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>
      <x:c r="A134" s="57"/>
      <x:c r="B134" s="57"/>
      <x:c r="C134" s="57"/>
      <x:c r="D134" s="57"/>
      <x:c r="E134" s="57"/>
      <x:c r="F134" s="57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>
      <x:c r="A135" s="57"/>
      <x:c r="B135" s="57"/>
      <x:c r="C135" s="57"/>
      <x:c r="D135" s="57"/>
      <x:c r="E135" s="57"/>
      <x:c r="F135" s="57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>
      <x:c r="A136" s="57"/>
      <x:c r="B136" s="57"/>
      <x:c r="C136" s="57"/>
      <x:c r="D136" s="57"/>
      <x:c r="E136" s="57"/>
      <x:c r="F136" s="57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>
      <x:c r="A137" s="57"/>
      <x:c r="B137" s="57"/>
      <x:c r="C137" s="57"/>
      <x:c r="D137" s="57"/>
      <x:c r="E137" s="57"/>
      <x:c r="F137" s="57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>
      <x:c r="A138" s="57"/>
      <x:c r="B138" s="57"/>
      <x:c r="C138" s="57"/>
      <x:c r="D138" s="57"/>
      <x:c r="E138" s="57"/>
      <x:c r="F138" s="57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>
      <x:c r="A139" s="57"/>
      <x:c r="B139" s="57"/>
      <x:c r="C139" s="57"/>
      <x:c r="D139" s="57"/>
      <x:c r="E139" s="57"/>
      <x:c r="F139" s="57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>
      <x:c r="A140" s="57"/>
      <x:c r="B140" s="57"/>
      <x:c r="C140" s="57"/>
      <x:c r="D140" s="57"/>
      <x:c r="E140" s="57"/>
      <x:c r="F140" s="57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>
      <x:c r="A141" s="57"/>
      <x:c r="B141" s="57"/>
      <x:c r="C141" s="57"/>
      <x:c r="D141" s="57"/>
      <x:c r="E141" s="57"/>
      <x:c r="F141" s="57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>
      <x:c r="A142" s="57"/>
      <x:c r="B142" s="57"/>
      <x:c r="C142" s="57"/>
      <x:c r="D142" s="57"/>
      <x:c r="E142" s="57"/>
      <x:c r="F142" s="57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>
      <x:c r="A143" s="57"/>
      <x:c r="B143" s="57"/>
      <x:c r="C143" s="57"/>
      <x:c r="D143" s="57"/>
      <x:c r="E143" s="57"/>
      <x:c r="F143" s="57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>
      <x:c r="A144" s="57"/>
      <x:c r="B144" s="57"/>
      <x:c r="C144" s="57"/>
      <x:c r="D144" s="57"/>
      <x:c r="E144" s="57"/>
      <x:c r="F144" s="57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>
      <x:c r="A145" s="57"/>
      <x:c r="B145" s="57"/>
      <x:c r="C145" s="57"/>
      <x:c r="D145" s="57"/>
      <x:c r="E145" s="57"/>
      <x:c r="F145" s="57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>
      <x:c r="A146" s="57"/>
      <x:c r="B146" s="57"/>
      <x:c r="C146" s="57"/>
      <x:c r="D146" s="57"/>
      <x:c r="E146" s="57"/>
      <x:c r="F146" s="57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>
      <x:c r="A147" s="57"/>
      <x:c r="B147" s="57"/>
      <x:c r="C147" s="57"/>
      <x:c r="D147" s="57"/>
      <x:c r="E147" s="57"/>
      <x:c r="F147" s="57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>
      <x:c r="A148" s="57"/>
      <x:c r="B148" s="57"/>
      <x:c r="C148" s="57"/>
      <x:c r="D148" s="57"/>
      <x:c r="E148" s="57"/>
      <x:c r="F148" s="57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>
      <x:c r="A149" s="57"/>
      <x:c r="B149" s="57"/>
      <x:c r="C149" s="57"/>
      <x:c r="D149" s="57"/>
      <x:c r="E149" s="57"/>
      <x:c r="F149" s="57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>
      <x:c r="A150" s="57"/>
      <x:c r="B150" s="57"/>
      <x:c r="C150" s="57"/>
      <x:c r="D150" s="57"/>
      <x:c r="E150" s="57"/>
      <x:c r="F150" s="57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>
      <x:c r="A151" s="57"/>
      <x:c r="B151" s="57"/>
      <x:c r="C151" s="57"/>
      <x:c r="D151" s="57"/>
      <x:c r="E151" s="57"/>
      <x:c r="F151" s="57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>
      <x:c r="A152" s="57"/>
      <x:c r="B152" s="57"/>
      <x:c r="C152" s="57"/>
      <x:c r="D152" s="57"/>
      <x:c r="E152" s="57"/>
      <x:c r="F152" s="57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>
      <x:c r="A153" s="57"/>
      <x:c r="B153" s="57"/>
      <x:c r="C153" s="57"/>
      <x:c r="D153" s="57"/>
      <x:c r="E153" s="57"/>
      <x:c r="F153" s="57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>
      <x:c r="A154" s="57"/>
      <x:c r="B154" s="57"/>
      <x:c r="C154" s="57"/>
      <x:c r="D154" s="57"/>
      <x:c r="E154" s="57"/>
      <x:c r="F154" s="57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>
      <x:c r="A155" s="57"/>
      <x:c r="B155" s="57"/>
      <x:c r="C155" s="57"/>
      <x:c r="D155" s="57"/>
      <x:c r="E155" s="57"/>
      <x:c r="F155" s="57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>
      <x:c r="A156" s="57"/>
      <x:c r="B156" s="57"/>
      <x:c r="C156" s="57"/>
      <x:c r="D156" s="57"/>
      <x:c r="E156" s="57"/>
      <x:c r="F156" s="57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>
      <x:c r="A157" s="57"/>
      <x:c r="B157" s="57"/>
      <x:c r="C157" s="57"/>
      <x:c r="D157" s="57"/>
      <x:c r="E157" s="57"/>
      <x:c r="F157" s="57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>
      <x:c r="A158" s="57"/>
      <x:c r="B158" s="57"/>
      <x:c r="C158" s="57"/>
      <x:c r="D158" s="57"/>
      <x:c r="E158" s="57"/>
      <x:c r="F158" s="57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>
      <x:c r="A159" s="57"/>
      <x:c r="B159" s="57"/>
      <x:c r="C159" s="57"/>
      <x:c r="D159" s="57"/>
      <x:c r="E159" s="57"/>
      <x:c r="F159" s="57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>
      <x:c r="A160" s="57"/>
      <x:c r="B160" s="57"/>
      <x:c r="C160" s="57"/>
      <x:c r="D160" s="57"/>
      <x:c r="E160" s="57"/>
      <x:c r="F160" s="57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>
      <x:c r="A161" s="57"/>
      <x:c r="B161" s="57"/>
      <x:c r="C161" s="57"/>
      <x:c r="D161" s="57"/>
      <x:c r="E161" s="57"/>
      <x:c r="F161" s="57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>
      <x:c r="A162" s="57"/>
      <x:c r="B162" s="57"/>
      <x:c r="C162" s="57"/>
      <x:c r="D162" s="57"/>
      <x:c r="E162" s="57"/>
      <x:c r="F162" s="57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>
      <x:c r="A163" s="57"/>
      <x:c r="B163" s="57"/>
      <x:c r="C163" s="57"/>
      <x:c r="D163" s="57"/>
      <x:c r="E163" s="57"/>
      <x:c r="F163" s="57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>
      <x:c r="A164" s="57"/>
      <x:c r="B164" s="57"/>
      <x:c r="C164" s="57"/>
      <x:c r="D164" s="57"/>
      <x:c r="E164" s="57"/>
      <x:c r="F164" s="57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>
      <x:c r="A165" s="57"/>
      <x:c r="B165" s="57"/>
      <x:c r="C165" s="57"/>
      <x:c r="D165" s="57"/>
      <x:c r="E165" s="57"/>
      <x:c r="F165" s="57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>
      <x:c r="A166" s="57"/>
      <x:c r="B166" s="57"/>
      <x:c r="C166" s="57"/>
      <x:c r="D166" s="57"/>
      <x:c r="E166" s="57"/>
      <x:c r="F166" s="57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>
      <x:c r="A167" s="57"/>
      <x:c r="B167" s="57"/>
      <x:c r="C167" s="57"/>
      <x:c r="D167" s="57"/>
      <x:c r="E167" s="57"/>
      <x:c r="F167" s="57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>
      <x:c r="A168" s="57"/>
      <x:c r="B168" s="57"/>
      <x:c r="C168" s="57"/>
      <x:c r="D168" s="57"/>
      <x:c r="E168" s="57"/>
      <x:c r="F168" s="57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>
      <x:c r="A169" s="57"/>
      <x:c r="B169" s="57"/>
      <x:c r="C169" s="57"/>
      <x:c r="D169" s="57"/>
      <x:c r="E169" s="57"/>
      <x:c r="F169" s="57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>
      <x:c r="A170" s="57"/>
      <x:c r="B170" s="57"/>
      <x:c r="C170" s="57"/>
      <x:c r="D170" s="57"/>
      <x:c r="E170" s="57"/>
      <x:c r="F170" s="57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>
      <x:c r="A171" s="57"/>
      <x:c r="B171" s="57"/>
      <x:c r="C171" s="57"/>
      <x:c r="D171" s="57"/>
      <x:c r="E171" s="57"/>
      <x:c r="F171" s="57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>
      <x:c r="A172" s="57"/>
      <x:c r="B172" s="57"/>
      <x:c r="C172" s="57"/>
      <x:c r="D172" s="57"/>
      <x:c r="E172" s="57"/>
      <x:c r="F172" s="57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>
      <x:c r="A173" s="57"/>
      <x:c r="B173" s="57"/>
      <x:c r="C173" s="57"/>
      <x:c r="D173" s="57"/>
      <x:c r="E173" s="57"/>
      <x:c r="F173" s="57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>
      <x:c r="A174" s="57"/>
      <x:c r="B174" s="57"/>
      <x:c r="C174" s="57"/>
      <x:c r="D174" s="57"/>
      <x:c r="E174" s="57"/>
      <x:c r="F174" s="57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>
      <x:c r="A175" s="57"/>
      <x:c r="B175" s="57"/>
      <x:c r="C175" s="57"/>
      <x:c r="D175" s="57"/>
      <x:c r="E175" s="57"/>
      <x:c r="F175" s="57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>
      <x:c r="A176" s="57"/>
      <x:c r="B176" s="57"/>
      <x:c r="C176" s="57"/>
      <x:c r="D176" s="57"/>
      <x:c r="E176" s="57"/>
      <x:c r="F176" s="57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>
      <x:c r="A177" s="57"/>
      <x:c r="B177" s="57"/>
      <x:c r="C177" s="57"/>
      <x:c r="D177" s="57"/>
      <x:c r="E177" s="57"/>
      <x:c r="F177" s="57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>
      <x:c r="A178" s="57"/>
      <x:c r="B178" s="57"/>
      <x:c r="C178" s="57"/>
      <x:c r="D178" s="57"/>
      <x:c r="E178" s="57"/>
      <x:c r="F178" s="57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>
      <x:c r="A179" s="57"/>
      <x:c r="B179" s="57"/>
      <x:c r="C179" s="57"/>
      <x:c r="D179" s="57"/>
      <x:c r="E179" s="57"/>
      <x:c r="F179" s="57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>
      <x:c r="A180" s="57"/>
      <x:c r="B180" s="57"/>
      <x:c r="C180" s="57"/>
      <x:c r="D180" s="57"/>
      <x:c r="E180" s="57"/>
      <x:c r="F180" s="57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>
      <x:c r="A181" s="57"/>
      <x:c r="B181" s="57"/>
      <x:c r="C181" s="57"/>
      <x:c r="D181" s="57"/>
      <x:c r="E181" s="57"/>
      <x:c r="F181" s="57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>
      <x:c r="A182" s="57"/>
      <x:c r="B182" s="57"/>
      <x:c r="C182" s="57"/>
      <x:c r="D182" s="57"/>
      <x:c r="E182" s="57"/>
      <x:c r="F182" s="57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>
      <x:c r="A183" s="57"/>
      <x:c r="B183" s="57"/>
      <x:c r="C183" s="57"/>
      <x:c r="D183" s="57"/>
      <x:c r="E183" s="57"/>
      <x:c r="F183" s="57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>
      <x:c r="A184" s="57"/>
      <x:c r="B184" s="57"/>
      <x:c r="C184" s="57"/>
      <x:c r="D184" s="57"/>
      <x:c r="E184" s="57"/>
      <x:c r="F184" s="57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>
      <x:c r="A185" s="57"/>
      <x:c r="B185" s="57"/>
      <x:c r="C185" s="57"/>
      <x:c r="D185" s="57"/>
      <x:c r="E185" s="57"/>
      <x:c r="F185" s="57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>
      <x:c r="A186" s="57"/>
      <x:c r="B186" s="57"/>
      <x:c r="C186" s="57"/>
      <x:c r="D186" s="57"/>
      <x:c r="E186" s="57"/>
      <x:c r="F186" s="57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>
      <x:c r="A187" s="57"/>
      <x:c r="B187" s="57"/>
      <x:c r="C187" s="57"/>
      <x:c r="D187" s="57"/>
      <x:c r="E187" s="57"/>
      <x:c r="F187" s="57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>
      <x:c r="A188" s="57"/>
      <x:c r="B188" s="57"/>
      <x:c r="C188" s="57"/>
      <x:c r="D188" s="57"/>
      <x:c r="E188" s="57"/>
      <x:c r="F188" s="57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>
      <x:c r="A189" s="57"/>
      <x:c r="B189" s="57"/>
      <x:c r="C189" s="57"/>
      <x:c r="D189" s="57"/>
      <x:c r="E189" s="57"/>
      <x:c r="F189" s="57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>
      <x:c r="A190" s="57"/>
      <x:c r="B190" s="57"/>
      <x:c r="C190" s="57"/>
      <x:c r="D190" s="57"/>
      <x:c r="E190" s="57"/>
      <x:c r="F190" s="57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>
      <x:c r="A191" s="57"/>
      <x:c r="B191" s="57"/>
      <x:c r="C191" s="57"/>
      <x:c r="D191" s="57"/>
      <x:c r="E191" s="57"/>
      <x:c r="F191" s="57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>
      <x:c r="A192" s="57"/>
      <x:c r="B192" s="57"/>
      <x:c r="C192" s="57"/>
      <x:c r="D192" s="57"/>
      <x:c r="E192" s="57"/>
      <x:c r="F192" s="57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>
      <x:c r="A193" s="57"/>
      <x:c r="B193" s="57"/>
      <x:c r="C193" s="57"/>
      <x:c r="D193" s="57"/>
      <x:c r="E193" s="57"/>
      <x:c r="F193" s="57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>
      <x:c r="A194" s="57"/>
      <x:c r="B194" s="57"/>
      <x:c r="C194" s="57"/>
      <x:c r="D194" s="57"/>
      <x:c r="E194" s="57"/>
      <x:c r="F194" s="57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>
      <x:c r="A195" s="57"/>
      <x:c r="B195" s="57"/>
      <x:c r="C195" s="57"/>
      <x:c r="D195" s="57"/>
      <x:c r="E195" s="57"/>
      <x:c r="F195" s="57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>
      <x:c r="A196" s="57"/>
      <x:c r="B196" s="57"/>
      <x:c r="C196" s="57"/>
      <x:c r="D196" s="57"/>
      <x:c r="E196" s="57"/>
      <x:c r="F196" s="57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>
      <x:c r="A197" s="57"/>
      <x:c r="B197" s="57"/>
      <x:c r="C197" s="57"/>
      <x:c r="D197" s="57"/>
      <x:c r="E197" s="57"/>
      <x:c r="F197" s="57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>
      <x:c r="A198" s="57"/>
      <x:c r="B198" s="57"/>
      <x:c r="C198" s="57"/>
      <x:c r="D198" s="57"/>
      <x:c r="E198" s="57"/>
      <x:c r="F198" s="57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>
      <x:c r="A199" s="57"/>
      <x:c r="B199" s="57"/>
      <x:c r="C199" s="57"/>
      <x:c r="D199" s="57"/>
      <x:c r="E199" s="57"/>
      <x:c r="F199" s="57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>
      <x:c r="A200" s="57"/>
      <x:c r="B200" s="57"/>
      <x:c r="C200" s="57"/>
      <x:c r="D200" s="57"/>
      <x:c r="E200" s="57"/>
      <x:c r="F200" s="57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</x:sheetData>
  <x:mergeCells>
    <x:mergeCell ref="A1:I2"/>
    <x:mergeCell ref="A3:I3"/>
    <x:mergeCell ref="A5:I5"/>
    <x:mergeCell ref="A29:I2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5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7" hidden="0" customWidth="1"/>
  </x:cols>
  <x:sheetData>
    <x:row r="1">
      <x:c r="A1" s="53" t="str">
        <x:v>Денежный поток и точка безубыточности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3"/>
      <x:c r="N1" s="53"/>
      <x:c r="O1" s="53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>
      <x:c r="A2" s="53"/>
      <x:c r="B2" s="53"/>
      <x:c r="C2" s="53"/>
      <x:c r="D2" s="53"/>
      <x:c r="E2" s="53"/>
      <x:c r="F2" s="53"/>
      <x:c r="G2" s="53"/>
      <x:c r="H2" s="53"/>
      <x:c r="I2" s="53"/>
      <x:c r="J2" s="53"/>
      <x:c r="K2" s="53"/>
      <x:c r="L2" s="53"/>
      <x:c r="M2" s="53"/>
      <x:c r="N2" s="53"/>
      <x:c r="O2" s="53"/>
      <x:c r="P2" s="57"/>
      <x:c r="Q2" s="57"/>
      <x:c r="R2" s="57"/>
      <x:c r="S2" s="57"/>
      <x:c r="T2" s="57"/>
      <x:c r="U2" s="57"/>
      <x:c r="V2" s="57"/>
      <x:c r="W2" s="57"/>
      <x:c r="X2" s="57"/>
      <x:c r="Y2" s="57"/>
      <x:c r="Z2" s="57"/>
    </x:row>
    <x:row r="3">
      <x:c r="A3" s="54" t="str">
        <x:v>Месячная модель на 36 месяцев. Выгоды начинаются после завершения проекта.</x:v>
      </x:c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4"/>
      <x:c r="N3" s="54"/>
      <x:c r="O3" s="54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</x:row>
    <x:row r="4">
      <x:c r="A4" s="219" t="str">
        <x:v>Активный сценарий</x:v>
      </x:c>
      <x:c r="B4" s="219"/>
      <x:c r="C4" s="219"/>
      <x:c r="D4" s="219" t="str">
        <x:v>Первоначальные инвестиции</x:v>
      </x:c>
      <x:c r="E4" s="219"/>
      <x:c r="F4" s="219"/>
      <x:c r="G4" s="219" t="str">
        <x:v>Чистая экономия / год</x:v>
      </x:c>
      <x:c r="H4" s="219"/>
      <x:c r="I4" s="219"/>
      <x:c r="J4" s="219" t="str">
        <x:v>Точка безубыточности</x:v>
      </x:c>
      <x:c r="K4" s="219"/>
      <x:c r="L4" s="219"/>
      <x:c r="M4" s="57"/>
      <x:c r="N4" s="57"/>
      <x:c r="O4" s="57"/>
      <x:c r="P4" s="57"/>
      <x:c r="Q4" s="57"/>
      <x:c r="R4" s="57"/>
      <x:c r="S4" s="57"/>
      <x:c r="T4" s="57"/>
      <x:c r="U4" s="57"/>
      <x:c r="V4" s="57"/>
      <x:c r="W4" s="57"/>
      <x:c r="X4" s="57"/>
      <x:c r="Y4" s="57"/>
      <x:c r="Z4" s="57"/>
    </x:row>
    <x:row r="5">
      <x:c r="A5" s="288" t="str">
        <x:f>'Допущения'!$C$4</x:f>
        <x:v>Студенты</x:v>
      </x:c>
      <x:c r="B5" s="289"/>
      <x:c r="C5" s="290"/>
      <x:c r="D5" s="291" t="n">
        <x:f>'Сравнение'!$B$39</x:f>
        <x:v>20955000</x:v>
      </x:c>
      <x:c r="E5" s="292"/>
      <x:c r="F5" s="293"/>
      <x:c r="G5" s="291" t="n">
        <x:f>IF($A$5="Студенты",'Сравнение'!$G$31,'Сравнение'!$G$32)</x:f>
        <x:v>26819142.857142854</x:v>
      </x:c>
      <x:c r="H5" s="292"/>
      <x:c r="I5" s="293"/>
      <x:c r="J5" s="294" t="n">
        <x:f>MAX(O10:O46)</x:f>
        <x:v>16</x:v>
      </x:c>
      <x:c r="K5" s="295"/>
      <x:c r="L5" s="296"/>
      <x:c r="M5" s="57"/>
      <x:c r="N5" s="57"/>
      <x:c r="O5" s="57"/>
      <x:c r="P5" s="57"/>
      <x:c r="Q5" s="57"/>
      <x:c r="R5" s="57"/>
      <x:c r="S5" s="57"/>
      <x:c r="T5" s="57"/>
      <x:c r="U5" s="57"/>
      <x:c r="V5" s="57"/>
      <x:c r="W5" s="57"/>
      <x:c r="X5" s="57"/>
      <x:c r="Y5" s="57"/>
      <x:c r="Z5" s="57"/>
    </x:row>
    <x:row r="6">
      <x:c r="A6" s="58" t="str">
        <x:v>Кривая окупаемости строится по накопленным затратам и накопленным выгодам; их пересечение — первый месяц с неотрицательным накопленным денежным потоком.</x:v>
      </x:c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7"/>
      <x:c r="Q6" s="57"/>
      <x:c r="R6" s="57"/>
      <x:c r="S6" s="57"/>
      <x:c r="T6" s="57"/>
      <x:c r="U6" s="57"/>
      <x:c r="V6" s="57"/>
      <x:c r="W6" s="57"/>
      <x:c r="X6" s="57"/>
      <x:c r="Y6" s="57"/>
      <x:c r="Z6" s="57"/>
    </x:row>
    <x:row r="7">
      <x:c r="A7" s="57"/>
      <x:c r="B7" s="57"/>
      <x:c r="C7" s="57"/>
      <x:c r="D7" s="57"/>
      <x:c r="E7" s="57"/>
      <x:c r="F7" s="57"/>
      <x:c r="G7" s="57"/>
      <x:c r="H7" s="57"/>
      <x:c r="I7" s="57"/>
      <x:c r="J7" s="57"/>
      <x:c r="K7" s="57"/>
      <x:c r="L7" s="57"/>
      <x:c r="M7" s="57"/>
      <x:c r="N7" s="57"/>
      <x:c r="O7" s="57"/>
      <x:c r="P7" s="57"/>
      <x:c r="Q7" s="57"/>
      <x:c r="R7" s="57"/>
      <x:c r="S7" s="57"/>
      <x:c r="T7" s="57"/>
      <x:c r="U7" s="57"/>
      <x:c r="V7" s="57"/>
      <x:c r="W7" s="57"/>
      <x:c r="X7" s="57"/>
      <x:c r="Y7" s="57"/>
      <x:c r="Z7" s="57"/>
    </x:row>
    <x:row r="8">
      <x:c r="A8" s="57"/>
      <x:c r="B8" s="57"/>
      <x:c r="C8" s="57"/>
      <x:c r="D8" s="57"/>
      <x:c r="E8" s="57"/>
      <x:c r="F8" s="57"/>
      <x:c r="G8" s="57"/>
      <x:c r="H8" s="57"/>
      <x:c r="I8" s="57"/>
      <x:c r="J8" s="57"/>
      <x:c r="K8" s="57"/>
      <x:c r="L8" s="57"/>
      <x:c r="M8" s="57"/>
      <x:c r="N8" s="57"/>
      <x:c r="O8" s="57"/>
      <x:c r="P8" s="57"/>
      <x:c r="Q8" s="57"/>
      <x:c r="R8" s="57"/>
      <x:c r="S8" s="57"/>
      <x:c r="T8" s="57"/>
      <x:c r="U8" s="57"/>
      <x:c r="V8" s="57"/>
      <x:c r="W8" s="57"/>
      <x:c r="X8" s="57"/>
      <x:c r="Y8" s="57"/>
      <x:c r="Z8" s="57"/>
    </x:row>
    <x:row r="9">
      <x:c r="A9" s="60" t="str">
        <x:v>Месяц</x:v>
      </x:c>
      <x:c r="B9" s="60" t="str">
        <x:v>Этап</x:v>
      </x:c>
      <x:c r="C9" s="60" t="str">
        <x:v>Команда</x:v>
      </x:c>
      <x:c r="D9" s="60" t="str">
        <x:v>Инфраструктура и оборудование</x:v>
      </x:c>
      <x:c r="E9" s="60" t="str">
        <x:v>Эксплуатационные расходы</x:v>
      </x:c>
      <x:c r="F9" s="60" t="str">
        <x:v>Всего затрат</x:v>
      </x:c>
      <x:c r="G9" s="60" t="str">
        <x:v>Эффект труда</x:v>
      </x:c>
      <x:c r="H9" s="60" t="str">
        <x:v>Эффект простоя</x:v>
      </x:c>
      <x:c r="I9" s="60" t="str">
        <x:v>Эффект подключений</x:v>
      </x:c>
      <x:c r="J9" s="60" t="str">
        <x:v>Всего выгод</x:v>
      </x:c>
      <x:c r="K9" s="60" t="str">
        <x:v>Чистый поток</x:v>
      </x:c>
      <x:c r="L9" s="60" t="str">
        <x:v>Накопленные затраты</x:v>
      </x:c>
      <x:c r="M9" s="60" t="str">
        <x:v>Накопленные выгоды</x:v>
      </x:c>
      <x:c r="N9" s="60" t="str">
        <x:v>Накопленный поток</x:v>
      </x:c>
      <x:c r="O9" s="60" t="str">
        <x:v>Безубыточность</x:v>
      </x:c>
      <x:c r="P9" s="57"/>
      <x:c r="Q9" s="57"/>
      <x:c r="R9" s="57"/>
      <x:c r="S9" s="57"/>
      <x:c r="T9" s="57"/>
      <x:c r="U9" s="57"/>
      <x:c r="V9" s="57"/>
      <x:c r="W9" s="57"/>
      <x:c r="X9" s="57"/>
      <x:c r="Y9" s="57"/>
      <x:c r="Z9" s="57"/>
    </x:row>
    <x:row r="10">
      <x:c r="A10" s="226" t="n">
        <x:v>0</x:v>
      </x:c>
      <x:c r="B10" s="226" t="str">
        <x:f>IF(A10=0,"Старт",IF(A10&lt;='Допущения'!$C$12,"Разработка","Эксплуатация"))</x:f>
        <x:v>Старт</x:v>
      </x:c>
      <x:c r="C10" s="297" t="n">
        <x:f>IF(AND(A10&gt;=1,A10&lt;='Допущения'!$C$12),'Сравнение'!$B$31/'Допущения'!$C$12,0)</x:f>
        <x:v>0</x:v>
      </x:c>
      <x:c r="D10" s="297" t="n">
        <x:f>IF(A10=0,'Сравнение'!$B$32+'Сравнение'!$B$35+'Сравнение'!$B$36+'Сравнение'!$B$38,0)</x:f>
        <x:v>4155000</x:v>
      </x:c>
      <x:c r="E10" s="297" t="n">
        <x:f>IF(A10&gt;'Допущения'!$C$12,'Сравнение'!$B$43/12,0)</x:f>
        <x:v>0</x:v>
      </x:c>
      <x:c r="F10" s="297" t="n">
        <x:f>SUM(C10:E10)</x:f>
        <x:v>4155000</x:v>
      </x:c>
      <x:c r="G10" s="297" t="n">
        <x:f>IF(A10&gt;'Допущения'!$C$12,IF($A$5="Студенты",'Сравнение'!$D$9/12,'Сравнение'!$H$9/12),0)</x:f>
        <x:v>0</x:v>
      </x:c>
      <x:c r="H10" s="297" t="n">
        <x:f>IF(A10&gt;'Допущения'!$C$12,IF($A$5="Студенты",'Сравнение'!$D$13/12,'Сравнение'!$H$13/12),0)</x:f>
        <x:v>0</x:v>
      </x:c>
      <x:c r="I10" s="297" t="n">
        <x:f>IF(A10&gt;'Допущения'!$C$12,IF($A$5="Студенты",'Сравнение'!$D$17/12,'Сравнение'!$H$17/12),0)</x:f>
        <x:v>0</x:v>
      </x:c>
      <x:c r="J10" s="297" t="n">
        <x:f>SUM(G10:I10)</x:f>
        <x:v>0</x:v>
      </x:c>
      <x:c r="K10" s="297" t="n">
        <x:f>J10-F10</x:f>
        <x:v>-4155000</x:v>
      </x:c>
      <x:c r="L10" s="297" t="n">
        <x:f>F10</x:f>
        <x:v>4155000</x:v>
      </x:c>
      <x:c r="M10" s="297" t="n">
        <x:f>J10</x:f>
        <x:v>0</x:v>
      </x:c>
      <x:c r="N10" s="297" t="n">
        <x:f>K10</x:f>
        <x:v>-4155000</x:v>
      </x:c>
      <x:c r="O10" s="298" t="n">
        <x:f>IF(N10&gt;=0,A10,0)</x:f>
        <x:v>0</x:v>
      </x:c>
      <x:c r="P10" s="57"/>
      <x:c r="Q10" s="57"/>
      <x:c r="R10" s="57"/>
      <x:c r="S10" s="57"/>
      <x:c r="T10" s="57"/>
      <x:c r="U10" s="57"/>
      <x:c r="V10" s="57"/>
      <x:c r="W10" s="57"/>
      <x:c r="X10" s="57"/>
      <x:c r="Y10" s="57"/>
      <x:c r="Z10" s="57"/>
    </x:row>
    <x:row r="11">
      <x:c r="A11" s="226" t="n">
        <x:v>1</x:v>
      </x:c>
      <x:c r="B11" s="226" t="str">
        <x:f>IF(A11=0,"Старт",IF(A11&lt;='Допущения'!$C$12,"Разработка","Эксплуатация"))</x:f>
        <x:v>Разработка</x:v>
      </x:c>
      <x:c r="C11" s="297" t="n">
        <x:f>IF(AND(A11&gt;=1,A11&lt;='Допущения'!$C$12),'Сравнение'!$B$31/'Допущения'!$C$12,0)</x:f>
        <x:v>2800000</x:v>
      </x:c>
      <x:c r="D11" s="297" t="n">
        <x:f>IF(A11=0,'Сравнение'!$B$32+'Сравнение'!$B$35+'Сравнение'!$B$36+'Сравнение'!$B$38,0)</x:f>
        <x:v>0</x:v>
      </x:c>
      <x:c r="E11" s="297" t="n">
        <x:f>IF(A11&gt;'Допущения'!$C$12,'Сравнение'!$B$43/12,0)</x:f>
        <x:v>0</x:v>
      </x:c>
      <x:c r="F11" s="297" t="n">
        <x:f>SUM(C11:E11)</x:f>
        <x:v>2800000</x:v>
      </x:c>
      <x:c r="G11" s="297" t="n">
        <x:f>IF(A11&gt;'Допущения'!$C$12,IF($A$5="Студенты",'Сравнение'!$D$9/12,'Сравнение'!$H$9/12),0)</x:f>
        <x:v>0</x:v>
      </x:c>
      <x:c r="H11" s="297" t="n">
        <x:f>IF(A11&gt;'Допущения'!$C$12,IF($A$5="Студенты",'Сравнение'!$D$13/12,'Сравнение'!$H$13/12),0)</x:f>
        <x:v>0</x:v>
      </x:c>
      <x:c r="I11" s="297" t="n">
        <x:f>IF(A11&gt;'Допущения'!$C$12,IF($A$5="Студенты",'Сравнение'!$D$17/12,'Сравнение'!$H$17/12),0)</x:f>
        <x:v>0</x:v>
      </x:c>
      <x:c r="J11" s="297" t="n">
        <x:f>SUM(G11:I11)</x:f>
        <x:v>0</x:v>
      </x:c>
      <x:c r="K11" s="297" t="n">
        <x:f>J11-F11</x:f>
        <x:v>-2800000</x:v>
      </x:c>
      <x:c r="L11" s="297" t="n">
        <x:f>L10+F11</x:f>
        <x:v>6955000</x:v>
      </x:c>
      <x:c r="M11" s="297" t="n">
        <x:f>M10+J11</x:f>
        <x:v>0</x:v>
      </x:c>
      <x:c r="N11" s="297" t="n">
        <x:f>N10+K11</x:f>
        <x:v>-6955000</x:v>
      </x:c>
      <x:c r="O11" s="298" t="n">
        <x:f>IF(AND(N11&gt;=0,N10&lt;0),A11,0)</x:f>
        <x:v>0</x:v>
      </x:c>
      <x:c r="P11" s="57"/>
      <x:c r="Q11" s="57"/>
      <x:c r="R11" s="57"/>
      <x:c r="S11" s="57"/>
      <x:c r="T11" s="57"/>
      <x:c r="U11" s="57"/>
      <x:c r="V11" s="57"/>
      <x:c r="W11" s="57"/>
      <x:c r="X11" s="57"/>
      <x:c r="Y11" s="57"/>
      <x:c r="Z11" s="57"/>
    </x:row>
    <x:row r="12">
      <x:c r="A12" s="226" t="n">
        <x:v>2</x:v>
      </x:c>
      <x:c r="B12" s="226" t="str">
        <x:f>IF(A12=0,"Старт",IF(A12&lt;='Допущения'!$C$12,"Разработка","Эксплуатация"))</x:f>
        <x:v>Разработка</x:v>
      </x:c>
      <x:c r="C12" s="297" t="n">
        <x:f>IF(AND(A12&gt;=1,A12&lt;='Допущения'!$C$12),'Сравнение'!$B$31/'Допущения'!$C$12,0)</x:f>
        <x:v>2800000</x:v>
      </x:c>
      <x:c r="D12" s="297" t="n">
        <x:f>IF(A12=0,'Сравнение'!$B$32+'Сравнение'!$B$35+'Сравнение'!$B$36+'Сравнение'!$B$38,0)</x:f>
        <x:v>0</x:v>
      </x:c>
      <x:c r="E12" s="297" t="n">
        <x:f>IF(A12&gt;'Допущения'!$C$12,'Сравнение'!$B$43/12,0)</x:f>
        <x:v>0</x:v>
      </x:c>
      <x:c r="F12" s="297" t="n">
        <x:f>SUM(C12:E12)</x:f>
        <x:v>2800000</x:v>
      </x:c>
      <x:c r="G12" s="297" t="n">
        <x:f>IF(A12&gt;'Допущения'!$C$12,IF($A$5="Студенты",'Сравнение'!$D$9/12,'Сравнение'!$H$9/12),0)</x:f>
        <x:v>0</x:v>
      </x:c>
      <x:c r="H12" s="297" t="n">
        <x:f>IF(A12&gt;'Допущения'!$C$12,IF($A$5="Студенты",'Сравнение'!$D$13/12,'Сравнение'!$H$13/12),0)</x:f>
        <x:v>0</x:v>
      </x:c>
      <x:c r="I12" s="297" t="n">
        <x:f>IF(A12&gt;'Допущения'!$C$12,IF($A$5="Студенты",'Сравнение'!$D$17/12,'Сравнение'!$H$17/12),0)</x:f>
        <x:v>0</x:v>
      </x:c>
      <x:c r="J12" s="297" t="n">
        <x:f>SUM(G12:I12)</x:f>
        <x:v>0</x:v>
      </x:c>
      <x:c r="K12" s="297" t="n">
        <x:f>J12-F12</x:f>
        <x:v>-2800000</x:v>
      </x:c>
      <x:c r="L12" s="297" t="n">
        <x:f>L11+F12</x:f>
        <x:v>9755000</x:v>
      </x:c>
      <x:c r="M12" s="297" t="n">
        <x:f>M11+J12</x:f>
        <x:v>0</x:v>
      </x:c>
      <x:c r="N12" s="297" t="n">
        <x:f>N11+K12</x:f>
        <x:v>-9755000</x:v>
      </x:c>
      <x:c r="O12" s="298" t="n">
        <x:f>IF(AND(N12&gt;=0,N11&lt;0),A12,0)</x:f>
        <x:v>0</x:v>
      </x:c>
      <x:c r="P12" s="57"/>
      <x:c r="Q12" s="57"/>
      <x:c r="R12" s="57"/>
      <x:c r="S12" s="57"/>
      <x:c r="T12" s="57"/>
      <x:c r="U12" s="57"/>
      <x:c r="V12" s="57"/>
      <x:c r="W12" s="57"/>
      <x:c r="X12" s="57"/>
      <x:c r="Y12" s="57"/>
      <x:c r="Z12" s="57"/>
    </x:row>
    <x:row r="13">
      <x:c r="A13" s="226" t="n">
        <x:v>3</x:v>
      </x:c>
      <x:c r="B13" s="226" t="str">
        <x:f>IF(A13=0,"Старт",IF(A13&lt;='Допущения'!$C$12,"Разработка","Эксплуатация"))</x:f>
        <x:v>Разработка</x:v>
      </x:c>
      <x:c r="C13" s="297" t="n">
        <x:f>IF(AND(A13&gt;=1,A13&lt;='Допущения'!$C$12),'Сравнение'!$B$31/'Допущения'!$C$12,0)</x:f>
        <x:v>2800000</x:v>
      </x:c>
      <x:c r="D13" s="297" t="n">
        <x:f>IF(A13=0,'Сравнение'!$B$32+'Сравнение'!$B$35+'Сравнение'!$B$36+'Сравнение'!$B$38,0)</x:f>
        <x:v>0</x:v>
      </x:c>
      <x:c r="E13" s="297" t="n">
        <x:f>IF(A13&gt;'Допущения'!$C$12,'Сравнение'!$B$43/12,0)</x:f>
        <x:v>0</x:v>
      </x:c>
      <x:c r="F13" s="297" t="n">
        <x:f>SUM(C13:E13)</x:f>
        <x:v>2800000</x:v>
      </x:c>
      <x:c r="G13" s="297" t="n">
        <x:f>IF(A13&gt;'Допущения'!$C$12,IF($A$5="Студенты",'Сравнение'!$D$9/12,'Сравнение'!$H$9/12),0)</x:f>
        <x:v>0</x:v>
      </x:c>
      <x:c r="H13" s="297" t="n">
        <x:f>IF(A13&gt;'Допущения'!$C$12,IF($A$5="Студенты",'Сравнение'!$D$13/12,'Сравнение'!$H$13/12),0)</x:f>
        <x:v>0</x:v>
      </x:c>
      <x:c r="I13" s="297" t="n">
        <x:f>IF(A13&gt;'Допущения'!$C$12,IF($A$5="Студенты",'Сравнение'!$D$17/12,'Сравнение'!$H$17/12),0)</x:f>
        <x:v>0</x:v>
      </x:c>
      <x:c r="J13" s="297" t="n">
        <x:f>SUM(G13:I13)</x:f>
        <x:v>0</x:v>
      </x:c>
      <x:c r="K13" s="297" t="n">
        <x:f>J13-F13</x:f>
        <x:v>-2800000</x:v>
      </x:c>
      <x:c r="L13" s="297" t="n">
        <x:f>L12+F13</x:f>
        <x:v>12555000</x:v>
      </x:c>
      <x:c r="M13" s="297" t="n">
        <x:f>M12+J13</x:f>
        <x:v>0</x:v>
      </x:c>
      <x:c r="N13" s="297" t="n">
        <x:f>N12+K13</x:f>
        <x:v>-12555000</x:v>
      </x:c>
      <x:c r="O13" s="298" t="n">
        <x:f>IF(AND(N13&gt;=0,N12&lt;0),A13,0)</x:f>
        <x:v>0</x:v>
      </x:c>
      <x:c r="P13" s="57"/>
      <x:c r="Q13" s="57"/>
      <x:c r="R13" s="57"/>
      <x:c r="S13" s="57"/>
      <x:c r="T13" s="57"/>
      <x:c r="U13" s="57"/>
      <x:c r="V13" s="57"/>
      <x:c r="W13" s="57"/>
      <x:c r="X13" s="57"/>
      <x:c r="Y13" s="57"/>
      <x:c r="Z13" s="57"/>
    </x:row>
    <x:row r="14">
      <x:c r="A14" s="226" t="n">
        <x:v>4</x:v>
      </x:c>
      <x:c r="B14" s="226" t="str">
        <x:f>IF(A14=0,"Старт",IF(A14&lt;='Допущения'!$C$12,"Разработка","Эксплуатация"))</x:f>
        <x:v>Разработка</x:v>
      </x:c>
      <x:c r="C14" s="297" t="n">
        <x:f>IF(AND(A14&gt;=1,A14&lt;='Допущения'!$C$12),'Сравнение'!$B$31/'Допущения'!$C$12,0)</x:f>
        <x:v>2800000</x:v>
      </x:c>
      <x:c r="D14" s="297" t="n">
        <x:f>IF(A14=0,'Сравнение'!$B$32+'Сравнение'!$B$35+'Сравнение'!$B$36+'Сравнение'!$B$38,0)</x:f>
        <x:v>0</x:v>
      </x:c>
      <x:c r="E14" s="297" t="n">
        <x:f>IF(A14&gt;'Допущения'!$C$12,'Сравнение'!$B$43/12,0)</x:f>
        <x:v>0</x:v>
      </x:c>
      <x:c r="F14" s="297" t="n">
        <x:f>SUM(C14:E14)</x:f>
        <x:v>2800000</x:v>
      </x:c>
      <x:c r="G14" s="297" t="n">
        <x:f>IF(A14&gt;'Допущения'!$C$12,IF($A$5="Студенты",'Сравнение'!$D$9/12,'Сравнение'!$H$9/12),0)</x:f>
        <x:v>0</x:v>
      </x:c>
      <x:c r="H14" s="297" t="n">
        <x:f>IF(A14&gt;'Допущения'!$C$12,IF($A$5="Студенты",'Сравнение'!$D$13/12,'Сравнение'!$H$13/12),0)</x:f>
        <x:v>0</x:v>
      </x:c>
      <x:c r="I14" s="297" t="n">
        <x:f>IF(A14&gt;'Допущения'!$C$12,IF($A$5="Студенты",'Сравнение'!$D$17/12,'Сравнение'!$H$17/12),0)</x:f>
        <x:v>0</x:v>
      </x:c>
      <x:c r="J14" s="297" t="n">
        <x:f>SUM(G14:I14)</x:f>
        <x:v>0</x:v>
      </x:c>
      <x:c r="K14" s="297" t="n">
        <x:f>J14-F14</x:f>
        <x:v>-2800000</x:v>
      </x:c>
      <x:c r="L14" s="297" t="n">
        <x:f>L13+F14</x:f>
        <x:v>15355000</x:v>
      </x:c>
      <x:c r="M14" s="297" t="n">
        <x:f>M13+J14</x:f>
        <x:v>0</x:v>
      </x:c>
      <x:c r="N14" s="297" t="n">
        <x:f>N13+K14</x:f>
        <x:v>-15355000</x:v>
      </x:c>
      <x:c r="O14" s="298" t="n">
        <x:f>IF(AND(N14&gt;=0,N13&lt;0),A14,0)</x:f>
        <x:v>0</x:v>
      </x:c>
      <x:c r="P14" s="57"/>
      <x:c r="Q14" s="57"/>
      <x:c r="R14" s="57"/>
      <x:c r="S14" s="57"/>
      <x:c r="T14" s="57"/>
      <x:c r="U14" s="57"/>
      <x:c r="V14" s="57"/>
      <x:c r="W14" s="57"/>
      <x:c r="X14" s="57"/>
      <x:c r="Y14" s="57"/>
      <x:c r="Z14" s="57"/>
    </x:row>
    <x:row r="15">
      <x:c r="A15" s="226" t="n">
        <x:v>5</x:v>
      </x:c>
      <x:c r="B15" s="226" t="str">
        <x:f>IF(A15=0,"Старт",IF(A15&lt;='Допущения'!$C$12,"Разработка","Эксплуатация"))</x:f>
        <x:v>Разработка</x:v>
      </x:c>
      <x:c r="C15" s="297" t="n">
        <x:f>IF(AND(A15&gt;=1,A15&lt;='Допущения'!$C$12),'Сравнение'!$B$31/'Допущения'!$C$12,0)</x:f>
        <x:v>2800000</x:v>
      </x:c>
      <x:c r="D15" s="297" t="n">
        <x:f>IF(A15=0,'Сравнение'!$B$32+'Сравнение'!$B$35+'Сравнение'!$B$36+'Сравнение'!$B$38,0)</x:f>
        <x:v>0</x:v>
      </x:c>
      <x:c r="E15" s="297" t="n">
        <x:f>IF(A15&gt;'Допущения'!$C$12,'Сравнение'!$B$43/12,0)</x:f>
        <x:v>0</x:v>
      </x:c>
      <x:c r="F15" s="297" t="n">
        <x:f>SUM(C15:E15)</x:f>
        <x:v>2800000</x:v>
      </x:c>
      <x:c r="G15" s="297" t="n">
        <x:f>IF(A15&gt;'Допущения'!$C$12,IF($A$5="Студенты",'Сравнение'!$D$9/12,'Сравнение'!$H$9/12),0)</x:f>
        <x:v>0</x:v>
      </x:c>
      <x:c r="H15" s="297" t="n">
        <x:f>IF(A15&gt;'Допущения'!$C$12,IF($A$5="Студенты",'Сравнение'!$D$13/12,'Сравнение'!$H$13/12),0)</x:f>
        <x:v>0</x:v>
      </x:c>
      <x:c r="I15" s="297" t="n">
        <x:f>IF(A15&gt;'Допущения'!$C$12,IF($A$5="Студенты",'Сравнение'!$D$17/12,'Сравнение'!$H$17/12),0)</x:f>
        <x:v>0</x:v>
      </x:c>
      <x:c r="J15" s="297" t="n">
        <x:f>SUM(G15:I15)</x:f>
        <x:v>0</x:v>
      </x:c>
      <x:c r="K15" s="297" t="n">
        <x:f>J15-F15</x:f>
        <x:v>-2800000</x:v>
      </x:c>
      <x:c r="L15" s="297" t="n">
        <x:f>L14+F15</x:f>
        <x:v>18155000</x:v>
      </x:c>
      <x:c r="M15" s="297" t="n">
        <x:f>M14+J15</x:f>
        <x:v>0</x:v>
      </x:c>
      <x:c r="N15" s="297" t="n">
        <x:f>N14+K15</x:f>
        <x:v>-18155000</x:v>
      </x:c>
      <x:c r="O15" s="298" t="n">
        <x:f>IF(AND(N15&gt;=0,N14&lt;0),A15,0)</x:f>
        <x:v>0</x:v>
      </x:c>
      <x:c r="P15" s="57"/>
      <x:c r="Q15" s="57"/>
      <x:c r="R15" s="57"/>
      <x:c r="S15" s="57"/>
      <x:c r="T15" s="57"/>
      <x:c r="U15" s="57"/>
      <x:c r="V15" s="57"/>
      <x:c r="W15" s="57"/>
      <x:c r="X15" s="57"/>
      <x:c r="Y15" s="57"/>
      <x:c r="Z15" s="57"/>
    </x:row>
    <x:row r="16">
      <x:c r="A16" s="226" t="n">
        <x:v>6</x:v>
      </x:c>
      <x:c r="B16" s="226" t="str">
        <x:f>IF(A16=0,"Старт",IF(A16&lt;='Допущения'!$C$12,"Разработка","Эксплуатация"))</x:f>
        <x:v>Разработка</x:v>
      </x:c>
      <x:c r="C16" s="297" t="n">
        <x:f>IF(AND(A16&gt;=1,A16&lt;='Допущения'!$C$12),'Сравнение'!$B$31/'Допущения'!$C$12,0)</x:f>
        <x:v>2800000</x:v>
      </x:c>
      <x:c r="D16" s="297" t="n">
        <x:f>IF(A16=0,'Сравнение'!$B$32+'Сравнение'!$B$35+'Сравнение'!$B$36+'Сравнение'!$B$38,0)</x:f>
        <x:v>0</x:v>
      </x:c>
      <x:c r="E16" s="297" t="n">
        <x:f>IF(A16&gt;'Допущения'!$C$12,'Сравнение'!$B$43/12,0)</x:f>
        <x:v>0</x:v>
      </x:c>
      <x:c r="F16" s="297" t="n">
        <x:f>SUM(C16:E16)</x:f>
        <x:v>2800000</x:v>
      </x:c>
      <x:c r="G16" s="297" t="n">
        <x:f>IF(A16&gt;'Допущения'!$C$12,IF($A$5="Студенты",'Сравнение'!$D$9/12,'Сравнение'!$H$9/12),0)</x:f>
        <x:v>0</x:v>
      </x:c>
      <x:c r="H16" s="297" t="n">
        <x:f>IF(A16&gt;'Допущения'!$C$12,IF($A$5="Студенты",'Сравнение'!$D$13/12,'Сравнение'!$H$13/12),0)</x:f>
        <x:v>0</x:v>
      </x:c>
      <x:c r="I16" s="297" t="n">
        <x:f>IF(A16&gt;'Допущения'!$C$12,IF($A$5="Студенты",'Сравнение'!$D$17/12,'Сравнение'!$H$17/12),0)</x:f>
        <x:v>0</x:v>
      </x:c>
      <x:c r="J16" s="297" t="n">
        <x:f>SUM(G16:I16)</x:f>
        <x:v>0</x:v>
      </x:c>
      <x:c r="K16" s="297" t="n">
        <x:f>J16-F16</x:f>
        <x:v>-2800000</x:v>
      </x:c>
      <x:c r="L16" s="297" t="n">
        <x:f>L15+F16</x:f>
        <x:v>20955000</x:v>
      </x:c>
      <x:c r="M16" s="297" t="n">
        <x:f>M15+J16</x:f>
        <x:v>0</x:v>
      </x:c>
      <x:c r="N16" s="297" t="n">
        <x:f>N15+K16</x:f>
        <x:v>-20955000</x:v>
      </x:c>
      <x:c r="O16" s="298" t="n">
        <x:f>IF(AND(N16&gt;=0,N15&lt;0),A16,0)</x:f>
        <x:v>0</x:v>
      </x:c>
      <x:c r="P16" s="57"/>
      <x:c r="Q16" s="57"/>
      <x:c r="R16" s="57"/>
      <x:c r="S16" s="57"/>
      <x:c r="T16" s="57"/>
      <x:c r="U16" s="57"/>
      <x:c r="V16" s="57"/>
      <x:c r="W16" s="57"/>
      <x:c r="X16" s="57"/>
      <x:c r="Y16" s="57"/>
      <x:c r="Z16" s="57"/>
    </x:row>
    <x:row r="17">
      <x:c r="A17" s="226" t="n">
        <x:v>7</x:v>
      </x:c>
      <x:c r="B17" s="226" t="str">
        <x:f>IF(A17=0,"Старт",IF(A17&lt;='Допущения'!$C$12,"Разработка","Эксплуатация"))</x:f>
        <x:v>Эксплуатация</x:v>
      </x:c>
      <x:c r="C17" s="297" t="n">
        <x:f>IF(AND(A17&gt;=1,A17&lt;='Допущения'!$C$12),'Сравнение'!$B$31/'Допущения'!$C$12,0)</x:f>
        <x:v>0</x:v>
      </x:c>
      <x:c r="D17" s="297" t="n">
        <x:f>IF(A17=0,'Сравнение'!$B$32+'Сравнение'!$B$35+'Сравнение'!$B$36+'Сравнение'!$B$38,0)</x:f>
        <x:v>0</x:v>
      </x:c>
      <x:c r="E17" s="297" t="n">
        <x:f>IF(A17&gt;'Допущения'!$C$12,'Сравнение'!$B$43/12,0)</x:f>
        <x:v>125833.33333333333</x:v>
      </x:c>
      <x:c r="F17" s="297" t="n">
        <x:f>SUM(C17:E17)</x:f>
        <x:v>125833.33333333333</x:v>
      </x:c>
      <x:c r="G17" s="297" t="n">
        <x:f>IF(A17&gt;'Допущения'!$C$12,IF($A$5="Студенты",'Сравнение'!$D$9/12,'Сравнение'!$H$9/12),0)</x:f>
        <x:v>1752000</x:v>
      </x:c>
      <x:c r="H17" s="297" t="n">
        <x:f>IF(A17&gt;'Допущения'!$C$12,IF($A$5="Студенты",'Сравнение'!$D$13/12,'Сравнение'!$H$13/12),0)</x:f>
        <x:v>571428.5714285715</x:v>
      </x:c>
      <x:c r="I17" s="297" t="n">
        <x:f>IF(A17&gt;'Допущения'!$C$12,IF($A$5="Студенты",'Сравнение'!$D$17/12,'Сравнение'!$H$17/12),0)</x:f>
        <x:v>37333.333333333336</x:v>
      </x:c>
      <x:c r="J17" s="297" t="n">
        <x:f>SUM(G17:I17)</x:f>
        <x:v>2360761.904761905</x:v>
      </x:c>
      <x:c r="K17" s="297" t="n">
        <x:f>J17-F17</x:f>
        <x:v>2234928.5714285714</x:v>
      </x:c>
      <x:c r="L17" s="297" t="n">
        <x:f>L16+F17</x:f>
        <x:v>21080833.333333332</x:v>
      </x:c>
      <x:c r="M17" s="297" t="n">
        <x:f>M16+J17</x:f>
        <x:v>2360761.904761905</x:v>
      </x:c>
      <x:c r="N17" s="297" t="n">
        <x:f>N16+K17</x:f>
        <x:v>-18720071.42857143</x:v>
      </x:c>
      <x:c r="O17" s="298" t="n">
        <x:f>IF(AND(N17&gt;=0,N16&lt;0),A17,0)</x:f>
        <x:v>0</x:v>
      </x:c>
      <x:c r="P17" s="57"/>
      <x:c r="Q17" s="57"/>
      <x:c r="R17" s="57"/>
      <x:c r="S17" s="57"/>
      <x:c r="T17" s="57"/>
      <x:c r="U17" s="57"/>
      <x:c r="V17" s="57"/>
      <x:c r="W17" s="57"/>
      <x:c r="X17" s="57"/>
      <x:c r="Y17" s="57"/>
      <x:c r="Z17" s="57"/>
    </x:row>
    <x:row r="18">
      <x:c r="A18" s="226" t="n">
        <x:v>8</x:v>
      </x:c>
      <x:c r="B18" s="226" t="str">
        <x:f>IF(A18=0,"Старт",IF(A18&lt;='Допущения'!$C$12,"Разработка","Эксплуатация"))</x:f>
        <x:v>Эксплуатация</x:v>
      </x:c>
      <x:c r="C18" s="297" t="n">
        <x:f>IF(AND(A18&gt;=1,A18&lt;='Допущения'!$C$12),'Сравнение'!$B$31/'Допущения'!$C$12,0)</x:f>
        <x:v>0</x:v>
      </x:c>
      <x:c r="D18" s="297" t="n">
        <x:f>IF(A18=0,'Сравнение'!$B$32+'Сравнение'!$B$35+'Сравнение'!$B$36+'Сравнение'!$B$38,0)</x:f>
        <x:v>0</x:v>
      </x:c>
      <x:c r="E18" s="297" t="n">
        <x:f>IF(A18&gt;'Допущения'!$C$12,'Сравнение'!$B$43/12,0)</x:f>
        <x:v>125833.33333333333</x:v>
      </x:c>
      <x:c r="F18" s="297" t="n">
        <x:f>SUM(C18:E18)</x:f>
        <x:v>125833.33333333333</x:v>
      </x:c>
      <x:c r="G18" s="297" t="n">
        <x:f>IF(A18&gt;'Допущения'!$C$12,IF($A$5="Студенты",'Сравнение'!$D$9/12,'Сравнение'!$H$9/12),0)</x:f>
        <x:v>1752000</x:v>
      </x:c>
      <x:c r="H18" s="297" t="n">
        <x:f>IF(A18&gt;'Допущения'!$C$12,IF($A$5="Студенты",'Сравнение'!$D$13/12,'Сравнение'!$H$13/12),0)</x:f>
        <x:v>571428.5714285715</x:v>
      </x:c>
      <x:c r="I18" s="297" t="n">
        <x:f>IF(A18&gt;'Допущения'!$C$12,IF($A$5="Студенты",'Сравнение'!$D$17/12,'Сравнение'!$H$17/12),0)</x:f>
        <x:v>37333.333333333336</x:v>
      </x:c>
      <x:c r="J18" s="297" t="n">
        <x:f>SUM(G18:I18)</x:f>
        <x:v>2360761.904761905</x:v>
      </x:c>
      <x:c r="K18" s="297" t="n">
        <x:f>J18-F18</x:f>
        <x:v>2234928.5714285714</x:v>
      </x:c>
      <x:c r="L18" s="297" t="n">
        <x:f>L17+F18</x:f>
        <x:v>21206666.666666664</x:v>
      </x:c>
      <x:c r="M18" s="297" t="n">
        <x:f>M17+J18</x:f>
        <x:v>4721523.80952381</x:v>
      </x:c>
      <x:c r="N18" s="297" t="n">
        <x:f>N17+K18</x:f>
        <x:v>-16485142.857142858</x:v>
      </x:c>
      <x:c r="O18" s="298" t="n">
        <x:f>IF(AND(N18&gt;=0,N17&lt;0),A18,0)</x:f>
        <x:v>0</x:v>
      </x:c>
      <x:c r="P18" s="57"/>
      <x:c r="Q18" s="57"/>
      <x:c r="R18" s="57"/>
      <x:c r="S18" s="57"/>
      <x:c r="T18" s="57"/>
      <x:c r="U18" s="57"/>
      <x:c r="V18" s="57"/>
      <x:c r="W18" s="57"/>
      <x:c r="X18" s="57"/>
      <x:c r="Y18" s="57"/>
      <x:c r="Z18" s="57"/>
    </x:row>
    <x:row r="19">
      <x:c r="A19" s="226" t="n">
        <x:v>9</x:v>
      </x:c>
      <x:c r="B19" s="226" t="str">
        <x:f>IF(A19=0,"Старт",IF(A19&lt;='Допущения'!$C$12,"Разработка","Эксплуатация"))</x:f>
        <x:v>Эксплуатация</x:v>
      </x:c>
      <x:c r="C19" s="297" t="n">
        <x:f>IF(AND(A19&gt;=1,A19&lt;='Допущения'!$C$12),'Сравнение'!$B$31/'Допущения'!$C$12,0)</x:f>
        <x:v>0</x:v>
      </x:c>
      <x:c r="D19" s="297" t="n">
        <x:f>IF(A19=0,'Сравнение'!$B$32+'Сравнение'!$B$35+'Сравнение'!$B$36+'Сравнение'!$B$38,0)</x:f>
        <x:v>0</x:v>
      </x:c>
      <x:c r="E19" s="297" t="n">
        <x:f>IF(A19&gt;'Допущения'!$C$12,'Сравнение'!$B$43/12,0)</x:f>
        <x:v>125833.33333333333</x:v>
      </x:c>
      <x:c r="F19" s="297" t="n">
        <x:f>SUM(C19:E19)</x:f>
        <x:v>125833.33333333333</x:v>
      </x:c>
      <x:c r="G19" s="297" t="n">
        <x:f>IF(A19&gt;'Допущения'!$C$12,IF($A$5="Студенты",'Сравнение'!$D$9/12,'Сравнение'!$H$9/12),0)</x:f>
        <x:v>1752000</x:v>
      </x:c>
      <x:c r="H19" s="297" t="n">
        <x:f>IF(A19&gt;'Допущения'!$C$12,IF($A$5="Студенты",'Сравнение'!$D$13/12,'Сравнение'!$H$13/12),0)</x:f>
        <x:v>571428.5714285715</x:v>
      </x:c>
      <x:c r="I19" s="297" t="n">
        <x:f>IF(A19&gt;'Допущения'!$C$12,IF($A$5="Студенты",'Сравнение'!$D$17/12,'Сравнение'!$H$17/12),0)</x:f>
        <x:v>37333.333333333336</x:v>
      </x:c>
      <x:c r="J19" s="297" t="n">
        <x:f>SUM(G19:I19)</x:f>
        <x:v>2360761.904761905</x:v>
      </x:c>
      <x:c r="K19" s="297" t="n">
        <x:f>J19-F19</x:f>
        <x:v>2234928.5714285714</x:v>
      </x:c>
      <x:c r="L19" s="297" t="n">
        <x:f>L18+F19</x:f>
        <x:v>21332499.999999996</x:v>
      </x:c>
      <x:c r="M19" s="297" t="n">
        <x:f>M18+J19</x:f>
        <x:v>7082285.714285715</x:v>
      </x:c>
      <x:c r="N19" s="297" t="n">
        <x:f>N18+K19</x:f>
        <x:v>-14250214.285714287</x:v>
      </x:c>
      <x:c r="O19" s="298" t="n">
        <x:f>IF(AND(N19&gt;=0,N18&lt;0),A19,0)</x:f>
        <x:v>0</x:v>
      </x:c>
      <x:c r="P19" s="57"/>
      <x:c r="Q19" s="57"/>
      <x:c r="R19" s="57"/>
      <x:c r="S19" s="57"/>
      <x:c r="T19" s="57"/>
      <x:c r="U19" s="57"/>
      <x:c r="V19" s="57"/>
      <x:c r="W19" s="57"/>
      <x:c r="X19" s="57"/>
      <x:c r="Y19" s="57"/>
      <x:c r="Z19" s="57"/>
    </x:row>
    <x:row r="20">
      <x:c r="A20" s="226" t="n">
        <x:v>10</x:v>
      </x:c>
      <x:c r="B20" s="226" t="str">
        <x:f>IF(A20=0,"Старт",IF(A20&lt;='Допущения'!$C$12,"Разработка","Эксплуатация"))</x:f>
        <x:v>Эксплуатация</x:v>
      </x:c>
      <x:c r="C20" s="297" t="n">
        <x:f>IF(AND(A20&gt;=1,A20&lt;='Допущения'!$C$12),'Сравнение'!$B$31/'Допущения'!$C$12,0)</x:f>
        <x:v>0</x:v>
      </x:c>
      <x:c r="D20" s="297" t="n">
        <x:f>IF(A20=0,'Сравнение'!$B$32+'Сравнение'!$B$35+'Сравнение'!$B$36+'Сравнение'!$B$38,0)</x:f>
        <x:v>0</x:v>
      </x:c>
      <x:c r="E20" s="297" t="n">
        <x:f>IF(A20&gt;'Допущения'!$C$12,'Сравнение'!$B$43/12,0)</x:f>
        <x:v>125833.33333333333</x:v>
      </x:c>
      <x:c r="F20" s="297" t="n">
        <x:f>SUM(C20:E20)</x:f>
        <x:v>125833.33333333333</x:v>
      </x:c>
      <x:c r="G20" s="297" t="n">
        <x:f>IF(A20&gt;'Допущения'!$C$12,IF($A$5="Студенты",'Сравнение'!$D$9/12,'Сравнение'!$H$9/12),0)</x:f>
        <x:v>1752000</x:v>
      </x:c>
      <x:c r="H20" s="297" t="n">
        <x:f>IF(A20&gt;'Допущения'!$C$12,IF($A$5="Студенты",'Сравнение'!$D$13/12,'Сравнение'!$H$13/12),0)</x:f>
        <x:v>571428.5714285715</x:v>
      </x:c>
      <x:c r="I20" s="297" t="n">
        <x:f>IF(A20&gt;'Допущения'!$C$12,IF($A$5="Студенты",'Сравнение'!$D$17/12,'Сравнение'!$H$17/12),0)</x:f>
        <x:v>37333.333333333336</x:v>
      </x:c>
      <x:c r="J20" s="297" t="n">
        <x:f>SUM(G20:I20)</x:f>
        <x:v>2360761.904761905</x:v>
      </x:c>
      <x:c r="K20" s="297" t="n">
        <x:f>J20-F20</x:f>
        <x:v>2234928.5714285714</x:v>
      </x:c>
      <x:c r="L20" s="297" t="n">
        <x:f>L19+F20</x:f>
        <x:v>21458333.33333333</x:v>
      </x:c>
      <x:c r="M20" s="297" t="n">
        <x:f>M19+J20</x:f>
        <x:v>9443047.61904762</x:v>
      </x:c>
      <x:c r="N20" s="297" t="n">
        <x:f>N19+K20</x:f>
        <x:v>-12015285.714285716</x:v>
      </x:c>
      <x:c r="O20" s="298" t="n">
        <x:f>IF(AND(N20&gt;=0,N19&lt;0),A20,0)</x:f>
        <x:v>0</x:v>
      </x:c>
      <x:c r="P20" s="57"/>
      <x:c r="Q20" s="57"/>
      <x:c r="R20" s="57"/>
      <x:c r="S20" s="57"/>
      <x:c r="T20" s="57"/>
      <x:c r="U20" s="57"/>
      <x:c r="V20" s="57"/>
      <x:c r="W20" s="57"/>
      <x:c r="X20" s="57"/>
      <x:c r="Y20" s="57"/>
      <x:c r="Z20" s="57"/>
    </x:row>
    <x:row r="21">
      <x:c r="A21" s="226" t="n">
        <x:v>11</x:v>
      </x:c>
      <x:c r="B21" s="226" t="str">
        <x:f>IF(A21=0,"Старт",IF(A21&lt;='Допущения'!$C$12,"Разработка","Эксплуатация"))</x:f>
        <x:v>Эксплуатация</x:v>
      </x:c>
      <x:c r="C21" s="297" t="n">
        <x:f>IF(AND(A21&gt;=1,A21&lt;='Допущения'!$C$12),'Сравнение'!$B$31/'Допущения'!$C$12,0)</x:f>
        <x:v>0</x:v>
      </x:c>
      <x:c r="D21" s="297" t="n">
        <x:f>IF(A21=0,'Сравнение'!$B$32+'Сравнение'!$B$35+'Сравнение'!$B$36+'Сравнение'!$B$38,0)</x:f>
        <x:v>0</x:v>
      </x:c>
      <x:c r="E21" s="297" t="n">
        <x:f>IF(A21&gt;'Допущения'!$C$12,'Сравнение'!$B$43/12,0)</x:f>
        <x:v>125833.33333333333</x:v>
      </x:c>
      <x:c r="F21" s="297" t="n">
        <x:f>SUM(C21:E21)</x:f>
        <x:v>125833.33333333333</x:v>
      </x:c>
      <x:c r="G21" s="297" t="n">
        <x:f>IF(A21&gt;'Допущения'!$C$12,IF($A$5="Студенты",'Сравнение'!$D$9/12,'Сравнение'!$H$9/12),0)</x:f>
        <x:v>1752000</x:v>
      </x:c>
      <x:c r="H21" s="297" t="n">
        <x:f>IF(A21&gt;'Допущения'!$C$12,IF($A$5="Студенты",'Сравнение'!$D$13/12,'Сравнение'!$H$13/12),0)</x:f>
        <x:v>571428.5714285715</x:v>
      </x:c>
      <x:c r="I21" s="297" t="n">
        <x:f>IF(A21&gt;'Допущения'!$C$12,IF($A$5="Студенты",'Сравнение'!$D$17/12,'Сравнение'!$H$17/12),0)</x:f>
        <x:v>37333.333333333336</x:v>
      </x:c>
      <x:c r="J21" s="297" t="n">
        <x:f>SUM(G21:I21)</x:f>
        <x:v>2360761.904761905</x:v>
      </x:c>
      <x:c r="K21" s="297" t="n">
        <x:f>J21-F21</x:f>
        <x:v>2234928.5714285714</x:v>
      </x:c>
      <x:c r="L21" s="297" t="n">
        <x:f>L20+F21</x:f>
        <x:v>21584166.66666666</x:v>
      </x:c>
      <x:c r="M21" s="297" t="n">
        <x:f>M20+J21</x:f>
        <x:v>11803809.523809524</x:v>
      </x:c>
      <x:c r="N21" s="297" t="n">
        <x:f>N20+K21</x:f>
        <x:v>-9780357.142857146</x:v>
      </x:c>
      <x:c r="O21" s="298" t="n">
        <x:f>IF(AND(N21&gt;=0,N20&lt;0),A21,0)</x:f>
        <x:v>0</x:v>
      </x:c>
      <x:c r="P21" s="57"/>
      <x:c r="Q21" s="57"/>
      <x:c r="R21" s="57"/>
      <x:c r="S21" s="57"/>
      <x:c r="T21" s="57"/>
      <x:c r="U21" s="57"/>
      <x:c r="V21" s="57"/>
      <x:c r="W21" s="57"/>
      <x:c r="X21" s="57"/>
      <x:c r="Y21" s="57"/>
      <x:c r="Z21" s="57"/>
    </x:row>
    <x:row r="22">
      <x:c r="A22" s="226" t="n">
        <x:v>12</x:v>
      </x:c>
      <x:c r="B22" s="226" t="str">
        <x:f>IF(A22=0,"Старт",IF(A22&lt;='Допущения'!$C$12,"Разработка","Эксплуатация"))</x:f>
        <x:v>Эксплуатация</x:v>
      </x:c>
      <x:c r="C22" s="297" t="n">
        <x:f>IF(AND(A22&gt;=1,A22&lt;='Допущения'!$C$12),'Сравнение'!$B$31/'Допущения'!$C$12,0)</x:f>
        <x:v>0</x:v>
      </x:c>
      <x:c r="D22" s="297" t="n">
        <x:f>IF(A22=0,'Сравнение'!$B$32+'Сравнение'!$B$35+'Сравнение'!$B$36+'Сравнение'!$B$38,0)</x:f>
        <x:v>0</x:v>
      </x:c>
      <x:c r="E22" s="297" t="n">
        <x:f>IF(A22&gt;'Допущения'!$C$12,'Сравнение'!$B$43/12,0)</x:f>
        <x:v>125833.33333333333</x:v>
      </x:c>
      <x:c r="F22" s="297" t="n">
        <x:f>SUM(C22:E22)</x:f>
        <x:v>125833.33333333333</x:v>
      </x:c>
      <x:c r="G22" s="297" t="n">
        <x:f>IF(A22&gt;'Допущения'!$C$12,IF($A$5="Студенты",'Сравнение'!$D$9/12,'Сравнение'!$H$9/12),0)</x:f>
        <x:v>1752000</x:v>
      </x:c>
      <x:c r="H22" s="297" t="n">
        <x:f>IF(A22&gt;'Допущения'!$C$12,IF($A$5="Студенты",'Сравнение'!$D$13/12,'Сравнение'!$H$13/12),0)</x:f>
        <x:v>571428.5714285715</x:v>
      </x:c>
      <x:c r="I22" s="297" t="n">
        <x:f>IF(A22&gt;'Допущения'!$C$12,IF($A$5="Студенты",'Сравнение'!$D$17/12,'Сравнение'!$H$17/12),0)</x:f>
        <x:v>37333.333333333336</x:v>
      </x:c>
      <x:c r="J22" s="297" t="n">
        <x:f>SUM(G22:I22)</x:f>
        <x:v>2360761.904761905</x:v>
      </x:c>
      <x:c r="K22" s="297" t="n">
        <x:f>J22-F22</x:f>
        <x:v>2234928.5714285714</x:v>
      </x:c>
      <x:c r="L22" s="297" t="n">
        <x:f>L21+F22</x:f>
        <x:v>21709999.999999993</x:v>
      </x:c>
      <x:c r="M22" s="297" t="n">
        <x:f>M21+J22</x:f>
        <x:v>14164571.42857143</x:v>
      </x:c>
      <x:c r="N22" s="297" t="n">
        <x:f>N21+K22</x:f>
        <x:v>-7545428.571428575</x:v>
      </x:c>
      <x:c r="O22" s="298" t="n">
        <x:f>IF(AND(N22&gt;=0,N21&lt;0),A22,0)</x:f>
        <x:v>0</x:v>
      </x:c>
      <x:c r="P22" s="57"/>
      <x:c r="Q22" s="57"/>
      <x:c r="R22" s="57"/>
      <x:c r="S22" s="57"/>
      <x:c r="T22" s="57"/>
      <x:c r="U22" s="57"/>
      <x:c r="V22" s="57"/>
      <x:c r="W22" s="57"/>
      <x:c r="X22" s="57"/>
      <x:c r="Y22" s="57"/>
      <x:c r="Z22" s="57"/>
    </x:row>
    <x:row r="23">
      <x:c r="A23" s="226" t="n">
        <x:v>13</x:v>
      </x:c>
      <x:c r="B23" s="226" t="str">
        <x:f>IF(A23=0,"Старт",IF(A23&lt;='Допущения'!$C$12,"Разработка","Эксплуатация"))</x:f>
        <x:v>Эксплуатация</x:v>
      </x:c>
      <x:c r="C23" s="297" t="n">
        <x:f>IF(AND(A23&gt;=1,A23&lt;='Допущения'!$C$12),'Сравнение'!$B$31/'Допущения'!$C$12,0)</x:f>
        <x:v>0</x:v>
      </x:c>
      <x:c r="D23" s="297" t="n">
        <x:f>IF(A23=0,'Сравнение'!$B$32+'Сравнение'!$B$35+'Сравнение'!$B$36+'Сравнение'!$B$38,0)</x:f>
        <x:v>0</x:v>
      </x:c>
      <x:c r="E23" s="297" t="n">
        <x:f>IF(A23&gt;'Допущения'!$C$12,'Сравнение'!$B$43/12,0)</x:f>
        <x:v>125833.33333333333</x:v>
      </x:c>
      <x:c r="F23" s="297" t="n">
        <x:f>SUM(C23:E23)</x:f>
        <x:v>125833.33333333333</x:v>
      </x:c>
      <x:c r="G23" s="297" t="n">
        <x:f>IF(A23&gt;'Допущения'!$C$12,IF($A$5="Студенты",'Сравнение'!$D$9/12,'Сравнение'!$H$9/12),0)</x:f>
        <x:v>1752000</x:v>
      </x:c>
      <x:c r="H23" s="297" t="n">
        <x:f>IF(A23&gt;'Допущения'!$C$12,IF($A$5="Студенты",'Сравнение'!$D$13/12,'Сравнение'!$H$13/12),0)</x:f>
        <x:v>571428.5714285715</x:v>
      </x:c>
      <x:c r="I23" s="297" t="n">
        <x:f>IF(A23&gt;'Допущения'!$C$12,IF($A$5="Студенты",'Сравнение'!$D$17/12,'Сравнение'!$H$17/12),0)</x:f>
        <x:v>37333.333333333336</x:v>
      </x:c>
      <x:c r="J23" s="297" t="n">
        <x:f>SUM(G23:I23)</x:f>
        <x:v>2360761.904761905</x:v>
      </x:c>
      <x:c r="K23" s="297" t="n">
        <x:f>J23-F23</x:f>
        <x:v>2234928.5714285714</x:v>
      </x:c>
      <x:c r="L23" s="297" t="n">
        <x:f>L22+F23</x:f>
        <x:v>21835833.333333325</x:v>
      </x:c>
      <x:c r="M23" s="297" t="n">
        <x:f>M22+J23</x:f>
        <x:v>16525333.333333334</x:v>
      </x:c>
      <x:c r="N23" s="297" t="n">
        <x:f>N22+K23</x:f>
        <x:v>-5310500.000000004</x:v>
      </x:c>
      <x:c r="O23" s="298" t="n">
        <x:f>IF(AND(N23&gt;=0,N22&lt;0),A23,0)</x:f>
        <x:v>0</x:v>
      </x:c>
      <x:c r="P23" s="57"/>
      <x:c r="Q23" s="57"/>
      <x:c r="R23" s="57"/>
      <x:c r="S23" s="57"/>
      <x:c r="T23" s="57"/>
      <x:c r="U23" s="57"/>
      <x:c r="V23" s="57"/>
      <x:c r="W23" s="57"/>
      <x:c r="X23" s="57"/>
      <x:c r="Y23" s="57"/>
      <x:c r="Z23" s="57"/>
    </x:row>
    <x:row r="24">
      <x:c r="A24" s="226" t="n">
        <x:v>14</x:v>
      </x:c>
      <x:c r="B24" s="226" t="str">
        <x:f>IF(A24=0,"Старт",IF(A24&lt;='Допущения'!$C$12,"Разработка","Эксплуатация"))</x:f>
        <x:v>Эксплуатация</x:v>
      </x:c>
      <x:c r="C24" s="297" t="n">
        <x:f>IF(AND(A24&gt;=1,A24&lt;='Допущения'!$C$12),'Сравнение'!$B$31/'Допущения'!$C$12,0)</x:f>
        <x:v>0</x:v>
      </x:c>
      <x:c r="D24" s="297" t="n">
        <x:f>IF(A24=0,'Сравнение'!$B$32+'Сравнение'!$B$35+'Сравнение'!$B$36+'Сравнение'!$B$38,0)</x:f>
        <x:v>0</x:v>
      </x:c>
      <x:c r="E24" s="297" t="n">
        <x:f>IF(A24&gt;'Допущения'!$C$12,'Сравнение'!$B$43/12,0)</x:f>
        <x:v>125833.33333333333</x:v>
      </x:c>
      <x:c r="F24" s="297" t="n">
        <x:f>SUM(C24:E24)</x:f>
        <x:v>125833.33333333333</x:v>
      </x:c>
      <x:c r="G24" s="297" t="n">
        <x:f>IF(A24&gt;'Допущения'!$C$12,IF($A$5="Студенты",'Сравнение'!$D$9/12,'Сравнение'!$H$9/12),0)</x:f>
        <x:v>1752000</x:v>
      </x:c>
      <x:c r="H24" s="297" t="n">
        <x:f>IF(A24&gt;'Допущения'!$C$12,IF($A$5="Студенты",'Сравнение'!$D$13/12,'Сравнение'!$H$13/12),0)</x:f>
        <x:v>571428.5714285715</x:v>
      </x:c>
      <x:c r="I24" s="297" t="n">
        <x:f>IF(A24&gt;'Допущения'!$C$12,IF($A$5="Студенты",'Сравнение'!$D$17/12,'Сравнение'!$H$17/12),0)</x:f>
        <x:v>37333.333333333336</x:v>
      </x:c>
      <x:c r="J24" s="297" t="n">
        <x:f>SUM(G24:I24)</x:f>
        <x:v>2360761.904761905</x:v>
      </x:c>
      <x:c r="K24" s="297" t="n">
        <x:f>J24-F24</x:f>
        <x:v>2234928.5714285714</x:v>
      </x:c>
      <x:c r="L24" s="297" t="n">
        <x:f>L23+F24</x:f>
        <x:v>21961666.666666657</x:v>
      </x:c>
      <x:c r="M24" s="297" t="n">
        <x:f>M23+J24</x:f>
        <x:v>18886095.23809524</x:v>
      </x:c>
      <x:c r="N24" s="297" t="n">
        <x:f>N23+K24</x:f>
        <x:v>-3075571.4285714324</x:v>
      </x:c>
      <x:c r="O24" s="298" t="n">
        <x:f>IF(AND(N24&gt;=0,N23&lt;0),A24,0)</x:f>
        <x:v>0</x:v>
      </x:c>
      <x:c r="P24" s="57"/>
      <x:c r="Q24" s="57"/>
      <x:c r="R24" s="57"/>
      <x:c r="S24" s="57"/>
      <x:c r="T24" s="57"/>
      <x:c r="U24" s="57"/>
      <x:c r="V24" s="57"/>
      <x:c r="W24" s="57"/>
      <x:c r="X24" s="57"/>
      <x:c r="Y24" s="57"/>
      <x:c r="Z24" s="57"/>
    </x:row>
    <x:row r="25">
      <x:c r="A25" s="226" t="n">
        <x:v>15</x:v>
      </x:c>
      <x:c r="B25" s="226" t="str">
        <x:f>IF(A25=0,"Старт",IF(A25&lt;='Допущения'!$C$12,"Разработка","Эксплуатация"))</x:f>
        <x:v>Эксплуатация</x:v>
      </x:c>
      <x:c r="C25" s="297" t="n">
        <x:f>IF(AND(A25&gt;=1,A25&lt;='Допущения'!$C$12),'Сравнение'!$B$31/'Допущения'!$C$12,0)</x:f>
        <x:v>0</x:v>
      </x:c>
      <x:c r="D25" s="297" t="n">
        <x:f>IF(A25=0,'Сравнение'!$B$32+'Сравнение'!$B$35+'Сравнение'!$B$36+'Сравнение'!$B$38,0)</x:f>
        <x:v>0</x:v>
      </x:c>
      <x:c r="E25" s="297" t="n">
        <x:f>IF(A25&gt;'Допущения'!$C$12,'Сравнение'!$B$43/12,0)</x:f>
        <x:v>125833.33333333333</x:v>
      </x:c>
      <x:c r="F25" s="297" t="n">
        <x:f>SUM(C25:E25)</x:f>
        <x:v>125833.33333333333</x:v>
      </x:c>
      <x:c r="G25" s="297" t="n">
        <x:f>IF(A25&gt;'Допущения'!$C$12,IF($A$5="Студенты",'Сравнение'!$D$9/12,'Сравнение'!$H$9/12),0)</x:f>
        <x:v>1752000</x:v>
      </x:c>
      <x:c r="H25" s="297" t="n">
        <x:f>IF(A25&gt;'Допущения'!$C$12,IF($A$5="Студенты",'Сравнение'!$D$13/12,'Сравнение'!$H$13/12),0)</x:f>
        <x:v>571428.5714285715</x:v>
      </x:c>
      <x:c r="I25" s="297" t="n">
        <x:f>IF(A25&gt;'Допущения'!$C$12,IF($A$5="Студенты",'Сравнение'!$D$17/12,'Сравнение'!$H$17/12),0)</x:f>
        <x:v>37333.333333333336</x:v>
      </x:c>
      <x:c r="J25" s="297" t="n">
        <x:f>SUM(G25:I25)</x:f>
        <x:v>2360761.904761905</x:v>
      </x:c>
      <x:c r="K25" s="297" t="n">
        <x:f>J25-F25</x:f>
        <x:v>2234928.5714285714</x:v>
      </x:c>
      <x:c r="L25" s="297" t="n">
        <x:f>L24+F25</x:f>
        <x:v>22087499.99999999</x:v>
      </x:c>
      <x:c r="M25" s="297" t="n">
        <x:f>M24+J25</x:f>
        <x:v>21246857.14285714</x:v>
      </x:c>
      <x:c r="N25" s="297" t="n">
        <x:f>N24+K25</x:f>
        <x:v>-840642.857142861</x:v>
      </x:c>
      <x:c r="O25" s="298" t="n">
        <x:f>IF(AND(N25&gt;=0,N24&lt;0),A25,0)</x:f>
        <x:v>0</x:v>
      </x:c>
      <x:c r="P25" s="57"/>
      <x:c r="Q25" s="57"/>
      <x:c r="R25" s="57"/>
      <x:c r="S25" s="57"/>
      <x:c r="T25" s="57"/>
      <x:c r="U25" s="57"/>
      <x:c r="V25" s="57"/>
      <x:c r="W25" s="57"/>
      <x:c r="X25" s="57"/>
      <x:c r="Y25" s="57"/>
      <x:c r="Z25" s="57"/>
    </x:row>
    <x:row r="26">
      <x:c r="A26" s="226" t="n">
        <x:v>16</x:v>
      </x:c>
      <x:c r="B26" s="226" t="str">
        <x:f>IF(A26=0,"Старт",IF(A26&lt;='Допущения'!$C$12,"Разработка","Эксплуатация"))</x:f>
        <x:v>Эксплуатация</x:v>
      </x:c>
      <x:c r="C26" s="297" t="n">
        <x:f>IF(AND(A26&gt;=1,A26&lt;='Допущения'!$C$12),'Сравнение'!$B$31/'Допущения'!$C$12,0)</x:f>
        <x:v>0</x:v>
      </x:c>
      <x:c r="D26" s="297" t="n">
        <x:f>IF(A26=0,'Сравнение'!$B$32+'Сравнение'!$B$35+'Сравнение'!$B$36+'Сравнение'!$B$38,0)</x:f>
        <x:v>0</x:v>
      </x:c>
      <x:c r="E26" s="297" t="n">
        <x:f>IF(A26&gt;'Допущения'!$C$12,'Сравнение'!$B$43/12,0)</x:f>
        <x:v>125833.33333333333</x:v>
      </x:c>
      <x:c r="F26" s="297" t="n">
        <x:f>SUM(C26:E26)</x:f>
        <x:v>125833.33333333333</x:v>
      </x:c>
      <x:c r="G26" s="297" t="n">
        <x:f>IF(A26&gt;'Допущения'!$C$12,IF($A$5="Студенты",'Сравнение'!$D$9/12,'Сравнение'!$H$9/12),0)</x:f>
        <x:v>1752000</x:v>
      </x:c>
      <x:c r="H26" s="297" t="n">
        <x:f>IF(A26&gt;'Допущения'!$C$12,IF($A$5="Студенты",'Сравнение'!$D$13/12,'Сравнение'!$H$13/12),0)</x:f>
        <x:v>571428.5714285715</x:v>
      </x:c>
      <x:c r="I26" s="297" t="n">
        <x:f>IF(A26&gt;'Допущения'!$C$12,IF($A$5="Студенты",'Сравнение'!$D$17/12,'Сравнение'!$H$17/12),0)</x:f>
        <x:v>37333.333333333336</x:v>
      </x:c>
      <x:c r="J26" s="297" t="n">
        <x:f>SUM(G26:I26)</x:f>
        <x:v>2360761.904761905</x:v>
      </x:c>
      <x:c r="K26" s="297" t="n">
        <x:f>J26-F26</x:f>
        <x:v>2234928.5714285714</x:v>
      </x:c>
      <x:c r="L26" s="297" t="n">
        <x:f>L25+F26</x:f>
        <x:v>22213333.33333332</x:v>
      </x:c>
      <x:c r="M26" s="297" t="n">
        <x:f>M25+J26</x:f>
        <x:v>23607619.047619045</x:v>
      </x:c>
      <x:c r="N26" s="297" t="n">
        <x:f>N25+K26</x:f>
        <x:v>1394285.7142857104</x:v>
      </x:c>
      <x:c r="O26" s="298" t="n">
        <x:f>IF(AND(N26&gt;=0,N25&lt;0),A26,0)</x:f>
        <x:v>16</x:v>
      </x:c>
      <x:c r="P26" s="57"/>
      <x:c r="Q26" s="57"/>
      <x:c r="R26" s="57"/>
      <x:c r="S26" s="57"/>
      <x:c r="T26" s="57"/>
      <x:c r="U26" s="57"/>
      <x:c r="V26" s="57"/>
      <x:c r="W26" s="57"/>
      <x:c r="X26" s="57"/>
      <x:c r="Y26" s="57"/>
      <x:c r="Z26" s="57"/>
    </x:row>
    <x:row r="27">
      <x:c r="A27" s="226" t="n">
        <x:v>17</x:v>
      </x:c>
      <x:c r="B27" s="226" t="str">
        <x:f>IF(A27=0,"Старт",IF(A27&lt;='Допущения'!$C$12,"Разработка","Эксплуатация"))</x:f>
        <x:v>Эксплуатация</x:v>
      </x:c>
      <x:c r="C27" s="297" t="n">
        <x:f>IF(AND(A27&gt;=1,A27&lt;='Допущения'!$C$12),'Сравнение'!$B$31/'Допущения'!$C$12,0)</x:f>
        <x:v>0</x:v>
      </x:c>
      <x:c r="D27" s="297" t="n">
        <x:f>IF(A27=0,'Сравнение'!$B$32+'Сравнение'!$B$35+'Сравнение'!$B$36+'Сравнение'!$B$38,0)</x:f>
        <x:v>0</x:v>
      </x:c>
      <x:c r="E27" s="297" t="n">
        <x:f>IF(A27&gt;'Допущения'!$C$12,'Сравнение'!$B$43/12,0)</x:f>
        <x:v>125833.33333333333</x:v>
      </x:c>
      <x:c r="F27" s="297" t="n">
        <x:f>SUM(C27:E27)</x:f>
        <x:v>125833.33333333333</x:v>
      </x:c>
      <x:c r="G27" s="297" t="n">
        <x:f>IF(A27&gt;'Допущения'!$C$12,IF($A$5="Студенты",'Сравнение'!$D$9/12,'Сравнение'!$H$9/12),0)</x:f>
        <x:v>1752000</x:v>
      </x:c>
      <x:c r="H27" s="297" t="n">
        <x:f>IF(A27&gt;'Допущения'!$C$12,IF($A$5="Студенты",'Сравнение'!$D$13/12,'Сравнение'!$H$13/12),0)</x:f>
        <x:v>571428.5714285715</x:v>
      </x:c>
      <x:c r="I27" s="297" t="n">
        <x:f>IF(A27&gt;'Допущения'!$C$12,IF($A$5="Студенты",'Сравнение'!$D$17/12,'Сравнение'!$H$17/12),0)</x:f>
        <x:v>37333.333333333336</x:v>
      </x:c>
      <x:c r="J27" s="297" t="n">
        <x:f>SUM(G27:I27)</x:f>
        <x:v>2360761.904761905</x:v>
      </x:c>
      <x:c r="K27" s="297" t="n">
        <x:f>J27-F27</x:f>
        <x:v>2234928.5714285714</x:v>
      </x:c>
      <x:c r="L27" s="297" t="n">
        <x:f>L26+F27</x:f>
        <x:v>22339166.666666653</x:v>
      </x:c>
      <x:c r="M27" s="297" t="n">
        <x:f>M26+J27</x:f>
        <x:v>25968380.952380948</x:v>
      </x:c>
      <x:c r="N27" s="297" t="n">
        <x:f>N26+K27</x:f>
        <x:v>3629214.2857142817</x:v>
      </x:c>
      <x:c r="O27" s="298" t="n">
        <x:f>IF(AND(N27&gt;=0,N26&lt;0),A27,0)</x:f>
        <x:v>0</x:v>
      </x:c>
      <x:c r="P27" s="57"/>
      <x:c r="Q27" s="57"/>
      <x:c r="R27" s="57"/>
      <x:c r="S27" s="57"/>
      <x:c r="T27" s="57"/>
      <x:c r="U27" s="57"/>
      <x:c r="V27" s="57"/>
      <x:c r="W27" s="57"/>
      <x:c r="X27" s="57"/>
      <x:c r="Y27" s="57"/>
      <x:c r="Z27" s="57"/>
    </x:row>
    <x:row r="28">
      <x:c r="A28" s="226" t="n">
        <x:v>18</x:v>
      </x:c>
      <x:c r="B28" s="226" t="str">
        <x:f>IF(A28=0,"Старт",IF(A28&lt;='Допущения'!$C$12,"Разработка","Эксплуатация"))</x:f>
        <x:v>Эксплуатация</x:v>
      </x:c>
      <x:c r="C28" s="297" t="n">
        <x:f>IF(AND(A28&gt;=1,A28&lt;='Допущения'!$C$12),'Сравнение'!$B$31/'Допущения'!$C$12,0)</x:f>
        <x:v>0</x:v>
      </x:c>
      <x:c r="D28" s="297" t="n">
        <x:f>IF(A28=0,'Сравнение'!$B$32+'Сравнение'!$B$35+'Сравнение'!$B$36+'Сравнение'!$B$38,0)</x:f>
        <x:v>0</x:v>
      </x:c>
      <x:c r="E28" s="297" t="n">
        <x:f>IF(A28&gt;'Допущения'!$C$12,'Сравнение'!$B$43/12,0)</x:f>
        <x:v>125833.33333333333</x:v>
      </x:c>
      <x:c r="F28" s="297" t="n">
        <x:f>SUM(C28:E28)</x:f>
        <x:v>125833.33333333333</x:v>
      </x:c>
      <x:c r="G28" s="297" t="n">
        <x:f>IF(A28&gt;'Допущения'!$C$12,IF($A$5="Студенты",'Сравнение'!$D$9/12,'Сравнение'!$H$9/12),0)</x:f>
        <x:v>1752000</x:v>
      </x:c>
      <x:c r="H28" s="297" t="n">
        <x:f>IF(A28&gt;'Допущения'!$C$12,IF($A$5="Студенты",'Сравнение'!$D$13/12,'Сравнение'!$H$13/12),0)</x:f>
        <x:v>571428.5714285715</x:v>
      </x:c>
      <x:c r="I28" s="297" t="n">
        <x:f>IF(A28&gt;'Допущения'!$C$12,IF($A$5="Студенты",'Сравнение'!$D$17/12,'Сравнение'!$H$17/12),0)</x:f>
        <x:v>37333.333333333336</x:v>
      </x:c>
      <x:c r="J28" s="297" t="n">
        <x:f>SUM(G28:I28)</x:f>
        <x:v>2360761.904761905</x:v>
      </x:c>
      <x:c r="K28" s="297" t="n">
        <x:f>J28-F28</x:f>
        <x:v>2234928.5714285714</x:v>
      </x:c>
      <x:c r="L28" s="297" t="n">
        <x:f>L27+F28</x:f>
        <x:v>22464999.999999985</x:v>
      </x:c>
      <x:c r="M28" s="297" t="n">
        <x:f>M27+J28</x:f>
        <x:v>28329142.85714285</x:v>
      </x:c>
      <x:c r="N28" s="297" t="n">
        <x:f>N27+K28</x:f>
        <x:v>5864142.857142853</x:v>
      </x:c>
      <x:c r="O28" s="298" t="n">
        <x:f>IF(AND(N28&gt;=0,N27&lt;0),A28,0)</x:f>
        <x:v>0</x:v>
      </x:c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>
      <x:c r="A29" s="226" t="n">
        <x:v>19</x:v>
      </x:c>
      <x:c r="B29" s="226" t="str">
        <x:f>IF(A29=0,"Старт",IF(A29&lt;='Допущения'!$C$12,"Разработка","Эксплуатация"))</x:f>
        <x:v>Эксплуатация</x:v>
      </x:c>
      <x:c r="C29" s="297" t="n">
        <x:f>IF(AND(A29&gt;=1,A29&lt;='Допущения'!$C$12),'Сравнение'!$B$31/'Допущения'!$C$12,0)</x:f>
        <x:v>0</x:v>
      </x:c>
      <x:c r="D29" s="297" t="n">
        <x:f>IF(A29=0,'Сравнение'!$B$32+'Сравнение'!$B$35+'Сравнение'!$B$36+'Сравнение'!$B$38,0)</x:f>
        <x:v>0</x:v>
      </x:c>
      <x:c r="E29" s="297" t="n">
        <x:f>IF(A29&gt;'Допущения'!$C$12,'Сравнение'!$B$43/12,0)</x:f>
        <x:v>125833.33333333333</x:v>
      </x:c>
      <x:c r="F29" s="297" t="n">
        <x:f>SUM(C29:E29)</x:f>
        <x:v>125833.33333333333</x:v>
      </x:c>
      <x:c r="G29" s="297" t="n">
        <x:f>IF(A29&gt;'Допущения'!$C$12,IF($A$5="Студенты",'Сравнение'!$D$9/12,'Сравнение'!$H$9/12),0)</x:f>
        <x:v>1752000</x:v>
      </x:c>
      <x:c r="H29" s="297" t="n">
        <x:f>IF(A29&gt;'Допущения'!$C$12,IF($A$5="Студенты",'Сравнение'!$D$13/12,'Сравнение'!$H$13/12),0)</x:f>
        <x:v>571428.5714285715</x:v>
      </x:c>
      <x:c r="I29" s="297" t="n">
        <x:f>IF(A29&gt;'Допущения'!$C$12,IF($A$5="Студенты",'Сравнение'!$D$17/12,'Сравнение'!$H$17/12),0)</x:f>
        <x:v>37333.333333333336</x:v>
      </x:c>
      <x:c r="J29" s="297" t="n">
        <x:f>SUM(G29:I29)</x:f>
        <x:v>2360761.904761905</x:v>
      </x:c>
      <x:c r="K29" s="297" t="n">
        <x:f>J29-F29</x:f>
        <x:v>2234928.5714285714</x:v>
      </x:c>
      <x:c r="L29" s="297" t="n">
        <x:f>L28+F29</x:f>
        <x:v>22590833.333333317</x:v>
      </x:c>
      <x:c r="M29" s="297" t="n">
        <x:f>M28+J29</x:f>
        <x:v>30689904.761904754</x:v>
      </x:c>
      <x:c r="N29" s="297" t="n">
        <x:f>N28+K29</x:f>
        <x:v>8099071.4285714235</x:v>
      </x:c>
      <x:c r="O29" s="298" t="n">
        <x:f>IF(AND(N29&gt;=0,N28&lt;0),A29,0)</x:f>
        <x:v>0</x:v>
      </x:c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>
      <x:c r="A30" s="226" t="n">
        <x:v>20</x:v>
      </x:c>
      <x:c r="B30" s="226" t="str">
        <x:f>IF(A30=0,"Старт",IF(A30&lt;='Допущения'!$C$12,"Разработка","Эксплуатация"))</x:f>
        <x:v>Эксплуатация</x:v>
      </x:c>
      <x:c r="C30" s="297" t="n">
        <x:f>IF(AND(A30&gt;=1,A30&lt;='Допущения'!$C$12),'Сравнение'!$B$31/'Допущения'!$C$12,0)</x:f>
        <x:v>0</x:v>
      </x:c>
      <x:c r="D30" s="297" t="n">
        <x:f>IF(A30=0,'Сравнение'!$B$32+'Сравнение'!$B$35+'Сравнение'!$B$36+'Сравнение'!$B$38,0)</x:f>
        <x:v>0</x:v>
      </x:c>
      <x:c r="E30" s="297" t="n">
        <x:f>IF(A30&gt;'Допущения'!$C$12,'Сравнение'!$B$43/12,0)</x:f>
        <x:v>125833.33333333333</x:v>
      </x:c>
      <x:c r="F30" s="297" t="n">
        <x:f>SUM(C30:E30)</x:f>
        <x:v>125833.33333333333</x:v>
      </x:c>
      <x:c r="G30" s="297" t="n">
        <x:f>IF(A30&gt;'Допущения'!$C$12,IF($A$5="Студенты",'Сравнение'!$D$9/12,'Сравнение'!$H$9/12),0)</x:f>
        <x:v>1752000</x:v>
      </x:c>
      <x:c r="H30" s="297" t="n">
        <x:f>IF(A30&gt;'Допущения'!$C$12,IF($A$5="Студенты",'Сравнение'!$D$13/12,'Сравнение'!$H$13/12),0)</x:f>
        <x:v>571428.5714285715</x:v>
      </x:c>
      <x:c r="I30" s="297" t="n">
        <x:f>IF(A30&gt;'Допущения'!$C$12,IF($A$5="Студенты",'Сравнение'!$D$17/12,'Сравнение'!$H$17/12),0)</x:f>
        <x:v>37333.333333333336</x:v>
      </x:c>
      <x:c r="J30" s="297" t="n">
        <x:f>SUM(G30:I30)</x:f>
        <x:v>2360761.904761905</x:v>
      </x:c>
      <x:c r="K30" s="297" t="n">
        <x:f>J30-F30</x:f>
        <x:v>2234928.5714285714</x:v>
      </x:c>
      <x:c r="L30" s="297" t="n">
        <x:f>L29+F30</x:f>
        <x:v>22716666.66666665</x:v>
      </x:c>
      <x:c r="M30" s="297" t="n">
        <x:f>M29+J30</x:f>
        <x:v>33050666.666666657</x:v>
      </x:c>
      <x:c r="N30" s="297" t="n">
        <x:f>N29+K30</x:f>
        <x:v>10333999.999999994</x:v>
      </x:c>
      <x:c r="O30" s="298" t="n">
        <x:f>IF(AND(N30&gt;=0,N29&lt;0),A30,0)</x:f>
        <x:v>0</x:v>
      </x:c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>
      <x:c r="A31" s="226" t="n">
        <x:v>21</x:v>
      </x:c>
      <x:c r="B31" s="226" t="str">
        <x:f>IF(A31=0,"Старт",IF(A31&lt;='Допущения'!$C$12,"Разработка","Эксплуатация"))</x:f>
        <x:v>Эксплуатация</x:v>
      </x:c>
      <x:c r="C31" s="297" t="n">
        <x:f>IF(AND(A31&gt;=1,A31&lt;='Допущения'!$C$12),'Сравнение'!$B$31/'Допущения'!$C$12,0)</x:f>
        <x:v>0</x:v>
      </x:c>
      <x:c r="D31" s="297" t="n">
        <x:f>IF(A31=0,'Сравнение'!$B$32+'Сравнение'!$B$35+'Сравнение'!$B$36+'Сравнение'!$B$38,0)</x:f>
        <x:v>0</x:v>
      </x:c>
      <x:c r="E31" s="297" t="n">
        <x:f>IF(A31&gt;'Допущения'!$C$12,'Сравнение'!$B$43/12,0)</x:f>
        <x:v>125833.33333333333</x:v>
      </x:c>
      <x:c r="F31" s="297" t="n">
        <x:f>SUM(C31:E31)</x:f>
        <x:v>125833.33333333333</x:v>
      </x:c>
      <x:c r="G31" s="297" t="n">
        <x:f>IF(A31&gt;'Допущения'!$C$12,IF($A$5="Студенты",'Сравнение'!$D$9/12,'Сравнение'!$H$9/12),0)</x:f>
        <x:v>1752000</x:v>
      </x:c>
      <x:c r="H31" s="297" t="n">
        <x:f>IF(A31&gt;'Допущения'!$C$12,IF($A$5="Студенты",'Сравнение'!$D$13/12,'Сравнение'!$H$13/12),0)</x:f>
        <x:v>571428.5714285715</x:v>
      </x:c>
      <x:c r="I31" s="297" t="n">
        <x:f>IF(A31&gt;'Допущения'!$C$12,IF($A$5="Студенты",'Сравнение'!$D$17/12,'Сравнение'!$H$17/12),0)</x:f>
        <x:v>37333.333333333336</x:v>
      </x:c>
      <x:c r="J31" s="297" t="n">
        <x:f>SUM(G31:I31)</x:f>
        <x:v>2360761.904761905</x:v>
      </x:c>
      <x:c r="K31" s="297" t="n">
        <x:f>J31-F31</x:f>
        <x:v>2234928.5714285714</x:v>
      </x:c>
      <x:c r="L31" s="297" t="n">
        <x:f>L30+F31</x:f>
        <x:v>22842499.99999998</x:v>
      </x:c>
      <x:c r="M31" s="297" t="n">
        <x:f>M30+J31</x:f>
        <x:v>35411428.57142856</x:v>
      </x:c>
      <x:c r="N31" s="297" t="n">
        <x:f>N30+K31</x:f>
        <x:v>12568928.571428565</x:v>
      </x:c>
      <x:c r="O31" s="298" t="n">
        <x:f>IF(AND(N31&gt;=0,N30&lt;0),A31,0)</x:f>
        <x:v>0</x:v>
      </x:c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>
      <x:c r="A32" s="226" t="n">
        <x:v>22</x:v>
      </x:c>
      <x:c r="B32" s="226" t="str">
        <x:f>IF(A32=0,"Старт",IF(A32&lt;='Допущения'!$C$12,"Разработка","Эксплуатация"))</x:f>
        <x:v>Эксплуатация</x:v>
      </x:c>
      <x:c r="C32" s="297" t="n">
        <x:f>IF(AND(A32&gt;=1,A32&lt;='Допущения'!$C$12),'Сравнение'!$B$31/'Допущения'!$C$12,0)</x:f>
        <x:v>0</x:v>
      </x:c>
      <x:c r="D32" s="297" t="n">
        <x:f>IF(A32=0,'Сравнение'!$B$32+'Сравнение'!$B$35+'Сравнение'!$B$36+'Сравнение'!$B$38,0)</x:f>
        <x:v>0</x:v>
      </x:c>
      <x:c r="E32" s="297" t="n">
        <x:f>IF(A32&gt;'Допущения'!$C$12,'Сравнение'!$B$43/12,0)</x:f>
        <x:v>125833.33333333333</x:v>
      </x:c>
      <x:c r="F32" s="297" t="n">
        <x:f>SUM(C32:E32)</x:f>
        <x:v>125833.33333333333</x:v>
      </x:c>
      <x:c r="G32" s="297" t="n">
        <x:f>IF(A32&gt;'Допущения'!$C$12,IF($A$5="Студенты",'Сравнение'!$D$9/12,'Сравнение'!$H$9/12),0)</x:f>
        <x:v>1752000</x:v>
      </x:c>
      <x:c r="H32" s="297" t="n">
        <x:f>IF(A32&gt;'Допущения'!$C$12,IF($A$5="Студенты",'Сравнение'!$D$13/12,'Сравнение'!$H$13/12),0)</x:f>
        <x:v>571428.5714285715</x:v>
      </x:c>
      <x:c r="I32" s="297" t="n">
        <x:f>IF(A32&gt;'Допущения'!$C$12,IF($A$5="Студенты",'Сравнение'!$D$17/12,'Сравнение'!$H$17/12),0)</x:f>
        <x:v>37333.333333333336</x:v>
      </x:c>
      <x:c r="J32" s="297" t="n">
        <x:f>SUM(G32:I32)</x:f>
        <x:v>2360761.904761905</x:v>
      </x:c>
      <x:c r="K32" s="297" t="n">
        <x:f>J32-F32</x:f>
        <x:v>2234928.5714285714</x:v>
      </x:c>
      <x:c r="L32" s="297" t="n">
        <x:f>L31+F32</x:f>
        <x:v>22968333.333333313</x:v>
      </x:c>
      <x:c r="M32" s="297" t="n">
        <x:f>M31+J32</x:f>
        <x:v>37772190.47619046</x:v>
      </x:c>
      <x:c r="N32" s="297" t="n">
        <x:f>N31+K32</x:f>
        <x:v>14803857.142857136</x:v>
      </x:c>
      <x:c r="O32" s="298" t="n">
        <x:f>IF(AND(N32&gt;=0,N31&lt;0),A32,0)</x:f>
        <x:v>0</x:v>
      </x:c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>
      <x:c r="A33" s="226" t="n">
        <x:v>23</x:v>
      </x:c>
      <x:c r="B33" s="226" t="str">
        <x:f>IF(A33=0,"Старт",IF(A33&lt;='Допущения'!$C$12,"Разработка","Эксплуатация"))</x:f>
        <x:v>Эксплуатация</x:v>
      </x:c>
      <x:c r="C33" s="297" t="n">
        <x:f>IF(AND(A33&gt;=1,A33&lt;='Допущения'!$C$12),'Сравнение'!$B$31/'Допущения'!$C$12,0)</x:f>
        <x:v>0</x:v>
      </x:c>
      <x:c r="D33" s="297" t="n">
        <x:f>IF(A33=0,'Сравнение'!$B$32+'Сравнение'!$B$35+'Сравнение'!$B$36+'Сравнение'!$B$38,0)</x:f>
        <x:v>0</x:v>
      </x:c>
      <x:c r="E33" s="297" t="n">
        <x:f>IF(A33&gt;'Допущения'!$C$12,'Сравнение'!$B$43/12,0)</x:f>
        <x:v>125833.33333333333</x:v>
      </x:c>
      <x:c r="F33" s="297" t="n">
        <x:f>SUM(C33:E33)</x:f>
        <x:v>125833.33333333333</x:v>
      </x:c>
      <x:c r="G33" s="297" t="n">
        <x:f>IF(A33&gt;'Допущения'!$C$12,IF($A$5="Студенты",'Сравнение'!$D$9/12,'Сравнение'!$H$9/12),0)</x:f>
        <x:v>1752000</x:v>
      </x:c>
      <x:c r="H33" s="297" t="n">
        <x:f>IF(A33&gt;'Допущения'!$C$12,IF($A$5="Студенты",'Сравнение'!$D$13/12,'Сравнение'!$H$13/12),0)</x:f>
        <x:v>571428.5714285715</x:v>
      </x:c>
      <x:c r="I33" s="297" t="n">
        <x:f>IF(A33&gt;'Допущения'!$C$12,IF($A$5="Студенты",'Сравнение'!$D$17/12,'Сравнение'!$H$17/12),0)</x:f>
        <x:v>37333.333333333336</x:v>
      </x:c>
      <x:c r="J33" s="297" t="n">
        <x:f>SUM(G33:I33)</x:f>
        <x:v>2360761.904761905</x:v>
      </x:c>
      <x:c r="K33" s="297" t="n">
        <x:f>J33-F33</x:f>
        <x:v>2234928.5714285714</x:v>
      </x:c>
      <x:c r="L33" s="297" t="n">
        <x:f>L32+F33</x:f>
        <x:v>23094166.666666646</x:v>
      </x:c>
      <x:c r="M33" s="297" t="n">
        <x:f>M32+J33</x:f>
        <x:v>40132952.380952366</x:v>
      </x:c>
      <x:c r="N33" s="297" t="n">
        <x:f>N32+K33</x:f>
        <x:v>17038785.71428571</x:v>
      </x:c>
      <x:c r="O33" s="298" t="n">
        <x:f>IF(AND(N33&gt;=0,N32&lt;0),A33,0)</x:f>
        <x:v>0</x:v>
      </x:c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>
      <x:c r="A34" s="226" t="n">
        <x:v>24</x:v>
      </x:c>
      <x:c r="B34" s="226" t="str">
        <x:f>IF(A34=0,"Старт",IF(A34&lt;='Допущения'!$C$12,"Разработка","Эксплуатация"))</x:f>
        <x:v>Эксплуатация</x:v>
      </x:c>
      <x:c r="C34" s="297" t="n">
        <x:f>IF(AND(A34&gt;=1,A34&lt;='Допущения'!$C$12),'Сравнение'!$B$31/'Допущения'!$C$12,0)</x:f>
        <x:v>0</x:v>
      </x:c>
      <x:c r="D34" s="297" t="n">
        <x:f>IF(A34=0,'Сравнение'!$B$32+'Сравнение'!$B$35+'Сравнение'!$B$36+'Сравнение'!$B$38,0)</x:f>
        <x:v>0</x:v>
      </x:c>
      <x:c r="E34" s="297" t="n">
        <x:f>IF(A34&gt;'Допущения'!$C$12,'Сравнение'!$B$43/12,0)</x:f>
        <x:v>125833.33333333333</x:v>
      </x:c>
      <x:c r="F34" s="297" t="n">
        <x:f>SUM(C34:E34)</x:f>
        <x:v>125833.33333333333</x:v>
      </x:c>
      <x:c r="G34" s="297" t="n">
        <x:f>IF(A34&gt;'Допущения'!$C$12,IF($A$5="Студенты",'Сравнение'!$D$9/12,'Сравнение'!$H$9/12),0)</x:f>
        <x:v>1752000</x:v>
      </x:c>
      <x:c r="H34" s="297" t="n">
        <x:f>IF(A34&gt;'Допущения'!$C$12,IF($A$5="Студенты",'Сравнение'!$D$13/12,'Сравнение'!$H$13/12),0)</x:f>
        <x:v>571428.5714285715</x:v>
      </x:c>
      <x:c r="I34" s="297" t="n">
        <x:f>IF(A34&gt;'Допущения'!$C$12,IF($A$5="Студенты",'Сравнение'!$D$17/12,'Сравнение'!$H$17/12),0)</x:f>
        <x:v>37333.333333333336</x:v>
      </x:c>
      <x:c r="J34" s="297" t="n">
        <x:f>SUM(G34:I34)</x:f>
        <x:v>2360761.904761905</x:v>
      </x:c>
      <x:c r="K34" s="297" t="n">
        <x:f>J34-F34</x:f>
        <x:v>2234928.5714285714</x:v>
      </x:c>
      <x:c r="L34" s="297" t="n">
        <x:f>L33+F34</x:f>
        <x:v>23219999.999999978</x:v>
      </x:c>
      <x:c r="M34" s="297" t="n">
        <x:f>M33+J34</x:f>
        <x:v>42493714.28571427</x:v>
      </x:c>
      <x:c r="N34" s="297" t="n">
        <x:f>N33+K34</x:f>
        <x:v>19273714.28571428</x:v>
      </x:c>
      <x:c r="O34" s="298" t="n">
        <x:f>IF(AND(N34&gt;=0,N33&lt;0),A34,0)</x:f>
        <x:v>0</x:v>
      </x:c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>
      <x:c r="A35" s="226" t="n">
        <x:v>25</x:v>
      </x:c>
      <x:c r="B35" s="226" t="str">
        <x:f>IF(A35=0,"Старт",IF(A35&lt;='Допущения'!$C$12,"Разработка","Эксплуатация"))</x:f>
        <x:v>Эксплуатация</x:v>
      </x:c>
      <x:c r="C35" s="297" t="n">
        <x:f>IF(AND(A35&gt;=1,A35&lt;='Допущения'!$C$12),'Сравнение'!$B$31/'Допущения'!$C$12,0)</x:f>
        <x:v>0</x:v>
      </x:c>
      <x:c r="D35" s="297" t="n">
        <x:f>IF(A35=0,'Сравнение'!$B$32+'Сравнение'!$B$35+'Сравнение'!$B$36+'Сравнение'!$B$38,0)</x:f>
        <x:v>0</x:v>
      </x:c>
      <x:c r="E35" s="297" t="n">
        <x:f>IF(A35&gt;'Допущения'!$C$12,'Сравнение'!$B$43/12,0)</x:f>
        <x:v>125833.33333333333</x:v>
      </x:c>
      <x:c r="F35" s="297" t="n">
        <x:f>SUM(C35:E35)</x:f>
        <x:v>125833.33333333333</x:v>
      </x:c>
      <x:c r="G35" s="297" t="n">
        <x:f>IF(A35&gt;'Допущения'!$C$12,IF($A$5="Студенты",'Сравнение'!$D$9/12,'Сравнение'!$H$9/12),0)</x:f>
        <x:v>1752000</x:v>
      </x:c>
      <x:c r="H35" s="297" t="n">
        <x:f>IF(A35&gt;'Допущения'!$C$12,IF($A$5="Студенты",'Сравнение'!$D$13/12,'Сравнение'!$H$13/12),0)</x:f>
        <x:v>571428.5714285715</x:v>
      </x:c>
      <x:c r="I35" s="297" t="n">
        <x:f>IF(A35&gt;'Допущения'!$C$12,IF($A$5="Студенты",'Сравнение'!$D$17/12,'Сравнение'!$H$17/12),0)</x:f>
        <x:v>37333.333333333336</x:v>
      </x:c>
      <x:c r="J35" s="297" t="n">
        <x:f>SUM(G35:I35)</x:f>
        <x:v>2360761.904761905</x:v>
      </x:c>
      <x:c r="K35" s="297" t="n">
        <x:f>J35-F35</x:f>
        <x:v>2234928.5714285714</x:v>
      </x:c>
      <x:c r="L35" s="297" t="n">
        <x:f>L34+F35</x:f>
        <x:v>23345833.33333331</x:v>
      </x:c>
      <x:c r="M35" s="297" t="n">
        <x:f>M34+J35</x:f>
        <x:v>44854476.19047617</x:v>
      </x:c>
      <x:c r="N35" s="297" t="n">
        <x:f>N34+K35</x:f>
        <x:v>21508642.85714285</x:v>
      </x:c>
      <x:c r="O35" s="298" t="n">
        <x:f>IF(AND(N35&gt;=0,N34&lt;0),A35,0)</x:f>
        <x:v>0</x:v>
      </x:c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>
      <x:c r="A36" s="226" t="n">
        <x:v>26</x:v>
      </x:c>
      <x:c r="B36" s="226" t="str">
        <x:f>IF(A36=0,"Старт",IF(A36&lt;='Допущения'!$C$12,"Разработка","Эксплуатация"))</x:f>
        <x:v>Эксплуатация</x:v>
      </x:c>
      <x:c r="C36" s="297" t="n">
        <x:f>IF(AND(A36&gt;=1,A36&lt;='Допущения'!$C$12),'Сравнение'!$B$31/'Допущения'!$C$12,0)</x:f>
        <x:v>0</x:v>
      </x:c>
      <x:c r="D36" s="297" t="n">
        <x:f>IF(A36=0,'Сравнение'!$B$32+'Сравнение'!$B$35+'Сравнение'!$B$36+'Сравнение'!$B$38,0)</x:f>
        <x:v>0</x:v>
      </x:c>
      <x:c r="E36" s="297" t="n">
        <x:f>IF(A36&gt;'Допущения'!$C$12,'Сравнение'!$B$43/12,0)</x:f>
        <x:v>125833.33333333333</x:v>
      </x:c>
      <x:c r="F36" s="297" t="n">
        <x:f>SUM(C36:E36)</x:f>
        <x:v>125833.33333333333</x:v>
      </x:c>
      <x:c r="G36" s="297" t="n">
        <x:f>IF(A36&gt;'Допущения'!$C$12,IF($A$5="Студенты",'Сравнение'!$D$9/12,'Сравнение'!$H$9/12),0)</x:f>
        <x:v>1752000</x:v>
      </x:c>
      <x:c r="H36" s="297" t="n">
        <x:f>IF(A36&gt;'Допущения'!$C$12,IF($A$5="Студенты",'Сравнение'!$D$13/12,'Сравнение'!$H$13/12),0)</x:f>
        <x:v>571428.5714285715</x:v>
      </x:c>
      <x:c r="I36" s="297" t="n">
        <x:f>IF(A36&gt;'Допущения'!$C$12,IF($A$5="Студенты",'Сравнение'!$D$17/12,'Сравнение'!$H$17/12),0)</x:f>
        <x:v>37333.333333333336</x:v>
      </x:c>
      <x:c r="J36" s="297" t="n">
        <x:f>SUM(G36:I36)</x:f>
        <x:v>2360761.904761905</x:v>
      </x:c>
      <x:c r="K36" s="297" t="n">
        <x:f>J36-F36</x:f>
        <x:v>2234928.5714285714</x:v>
      </x:c>
      <x:c r="L36" s="297" t="n">
        <x:f>L35+F36</x:f>
        <x:v>23471666.66666664</x:v>
      </x:c>
      <x:c r="M36" s="297" t="n">
        <x:f>M35+J36</x:f>
        <x:v>47215238.095238075</x:v>
      </x:c>
      <x:c r="N36" s="297" t="n">
        <x:f>N35+K36</x:f>
        <x:v>23743571.42857142</x:v>
      </x:c>
      <x:c r="O36" s="298" t="n">
        <x:f>IF(AND(N36&gt;=0,N35&lt;0),A36,0)</x:f>
        <x:v>0</x:v>
      </x:c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>
      <x:c r="A37" s="226" t="n">
        <x:v>27</x:v>
      </x:c>
      <x:c r="B37" s="226" t="str">
        <x:f>IF(A37=0,"Старт",IF(A37&lt;='Допущения'!$C$12,"Разработка","Эксплуатация"))</x:f>
        <x:v>Эксплуатация</x:v>
      </x:c>
      <x:c r="C37" s="297" t="n">
        <x:f>IF(AND(A37&gt;=1,A37&lt;='Допущения'!$C$12),'Сравнение'!$B$31/'Допущения'!$C$12,0)</x:f>
        <x:v>0</x:v>
      </x:c>
      <x:c r="D37" s="297" t="n">
        <x:f>IF(A37=0,'Сравнение'!$B$32+'Сравнение'!$B$35+'Сравнение'!$B$36+'Сравнение'!$B$38,0)</x:f>
        <x:v>0</x:v>
      </x:c>
      <x:c r="E37" s="297" t="n">
        <x:f>IF(A37&gt;'Допущения'!$C$12,'Сравнение'!$B$43/12,0)</x:f>
        <x:v>125833.33333333333</x:v>
      </x:c>
      <x:c r="F37" s="297" t="n">
        <x:f>SUM(C37:E37)</x:f>
        <x:v>125833.33333333333</x:v>
      </x:c>
      <x:c r="G37" s="297" t="n">
        <x:f>IF(A37&gt;'Допущения'!$C$12,IF($A$5="Студенты",'Сравнение'!$D$9/12,'Сравнение'!$H$9/12),0)</x:f>
        <x:v>1752000</x:v>
      </x:c>
      <x:c r="H37" s="297" t="n">
        <x:f>IF(A37&gt;'Допущения'!$C$12,IF($A$5="Студенты",'Сравнение'!$D$13/12,'Сравнение'!$H$13/12),0)</x:f>
        <x:v>571428.5714285715</x:v>
      </x:c>
      <x:c r="I37" s="297" t="n">
        <x:f>IF(A37&gt;'Допущения'!$C$12,IF($A$5="Студенты",'Сравнение'!$D$17/12,'Сравнение'!$H$17/12),0)</x:f>
        <x:v>37333.333333333336</x:v>
      </x:c>
      <x:c r="J37" s="297" t="n">
        <x:f>SUM(G37:I37)</x:f>
        <x:v>2360761.904761905</x:v>
      </x:c>
      <x:c r="K37" s="297" t="n">
        <x:f>J37-F37</x:f>
        <x:v>2234928.5714285714</x:v>
      </x:c>
      <x:c r="L37" s="297" t="n">
        <x:f>L36+F37</x:f>
        <x:v>23597499.999999974</x:v>
      </x:c>
      <x:c r="M37" s="297" t="n">
        <x:f>M36+J37</x:f>
        <x:v>49575999.99999998</x:v>
      </x:c>
      <x:c r="N37" s="297" t="n">
        <x:f>N36+K37</x:f>
        <x:v>25978499.999999993</x:v>
      </x:c>
      <x:c r="O37" s="298" t="n">
        <x:f>IF(AND(N37&gt;=0,N36&lt;0),A37,0)</x:f>
        <x:v>0</x:v>
      </x:c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>
      <x:c r="A38" s="226" t="n">
        <x:v>28</x:v>
      </x:c>
      <x:c r="B38" s="226" t="str">
        <x:f>IF(A38=0,"Старт",IF(A38&lt;='Допущения'!$C$12,"Разработка","Эксплуатация"))</x:f>
        <x:v>Эксплуатация</x:v>
      </x:c>
      <x:c r="C38" s="297" t="n">
        <x:f>IF(AND(A38&gt;=1,A38&lt;='Допущения'!$C$12),'Сравнение'!$B$31/'Допущения'!$C$12,0)</x:f>
        <x:v>0</x:v>
      </x:c>
      <x:c r="D38" s="297" t="n">
        <x:f>IF(A38=0,'Сравнение'!$B$32+'Сравнение'!$B$35+'Сравнение'!$B$36+'Сравнение'!$B$38,0)</x:f>
        <x:v>0</x:v>
      </x:c>
      <x:c r="E38" s="297" t="n">
        <x:f>IF(A38&gt;'Допущения'!$C$12,'Сравнение'!$B$43/12,0)</x:f>
        <x:v>125833.33333333333</x:v>
      </x:c>
      <x:c r="F38" s="297" t="n">
        <x:f>SUM(C38:E38)</x:f>
        <x:v>125833.33333333333</x:v>
      </x:c>
      <x:c r="G38" s="297" t="n">
        <x:f>IF(A38&gt;'Допущения'!$C$12,IF($A$5="Студенты",'Сравнение'!$D$9/12,'Сравнение'!$H$9/12),0)</x:f>
        <x:v>1752000</x:v>
      </x:c>
      <x:c r="H38" s="297" t="n">
        <x:f>IF(A38&gt;'Допущения'!$C$12,IF($A$5="Студенты",'Сравнение'!$D$13/12,'Сравнение'!$H$13/12),0)</x:f>
        <x:v>571428.5714285715</x:v>
      </x:c>
      <x:c r="I38" s="297" t="n">
        <x:f>IF(A38&gt;'Допущения'!$C$12,IF($A$5="Студенты",'Сравнение'!$D$17/12,'Сравнение'!$H$17/12),0)</x:f>
        <x:v>37333.333333333336</x:v>
      </x:c>
      <x:c r="J38" s="297" t="n">
        <x:f>SUM(G38:I38)</x:f>
        <x:v>2360761.904761905</x:v>
      </x:c>
      <x:c r="K38" s="297" t="n">
        <x:f>J38-F38</x:f>
        <x:v>2234928.5714285714</x:v>
      </x:c>
      <x:c r="L38" s="297" t="n">
        <x:f>L37+F38</x:f>
        <x:v>23723333.333333306</x:v>
      </x:c>
      <x:c r="M38" s="297" t="n">
        <x:f>M37+J38</x:f>
        <x:v>51936761.90476188</x:v>
      </x:c>
      <x:c r="N38" s="297" t="n">
        <x:f>N37+K38</x:f>
        <x:v>28213428.571428563</x:v>
      </x:c>
      <x:c r="O38" s="298" t="n">
        <x:f>IF(AND(N38&gt;=0,N37&lt;0),A38,0)</x:f>
        <x:v>0</x:v>
      </x:c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>
      <x:c r="A39" s="226" t="n">
        <x:v>29</x:v>
      </x:c>
      <x:c r="B39" s="226" t="str">
        <x:f>IF(A39=0,"Старт",IF(A39&lt;='Допущения'!$C$12,"Разработка","Эксплуатация"))</x:f>
        <x:v>Эксплуатация</x:v>
      </x:c>
      <x:c r="C39" s="297" t="n">
        <x:f>IF(AND(A39&gt;=1,A39&lt;='Допущения'!$C$12),'Сравнение'!$B$31/'Допущения'!$C$12,0)</x:f>
        <x:v>0</x:v>
      </x:c>
      <x:c r="D39" s="297" t="n">
        <x:f>IF(A39=0,'Сравнение'!$B$32+'Сравнение'!$B$35+'Сравнение'!$B$36+'Сравнение'!$B$38,0)</x:f>
        <x:v>0</x:v>
      </x:c>
      <x:c r="E39" s="297" t="n">
        <x:f>IF(A39&gt;'Допущения'!$C$12,'Сравнение'!$B$43/12,0)</x:f>
        <x:v>125833.33333333333</x:v>
      </x:c>
      <x:c r="F39" s="297" t="n">
        <x:f>SUM(C39:E39)</x:f>
        <x:v>125833.33333333333</x:v>
      </x:c>
      <x:c r="G39" s="297" t="n">
        <x:f>IF(A39&gt;'Допущения'!$C$12,IF($A$5="Студенты",'Сравнение'!$D$9/12,'Сравнение'!$H$9/12),0)</x:f>
        <x:v>1752000</x:v>
      </x:c>
      <x:c r="H39" s="297" t="n">
        <x:f>IF(A39&gt;'Допущения'!$C$12,IF($A$5="Студенты",'Сравнение'!$D$13/12,'Сравнение'!$H$13/12),0)</x:f>
        <x:v>571428.5714285715</x:v>
      </x:c>
      <x:c r="I39" s="297" t="n">
        <x:f>IF(A39&gt;'Допущения'!$C$12,IF($A$5="Студенты",'Сравнение'!$D$17/12,'Сравнение'!$H$17/12),0)</x:f>
        <x:v>37333.333333333336</x:v>
      </x:c>
      <x:c r="J39" s="297" t="n">
        <x:f>SUM(G39:I39)</x:f>
        <x:v>2360761.904761905</x:v>
      </x:c>
      <x:c r="K39" s="297" t="n">
        <x:f>J39-F39</x:f>
        <x:v>2234928.5714285714</x:v>
      </x:c>
      <x:c r="L39" s="297" t="n">
        <x:f>L38+F39</x:f>
        <x:v>23849166.666666638</x:v>
      </x:c>
      <x:c r="M39" s="297" t="n">
        <x:f>M38+J39</x:f>
        <x:v>54297523.80952378</x:v>
      </x:c>
      <x:c r="N39" s="297" t="n">
        <x:f>N38+K39</x:f>
        <x:v>30448357.142857134</x:v>
      </x:c>
      <x:c r="O39" s="298" t="n">
        <x:f>IF(AND(N39&gt;=0,N38&lt;0),A39,0)</x:f>
        <x:v>0</x:v>
      </x:c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>
      <x:c r="A40" s="226" t="n">
        <x:v>30</x:v>
      </x:c>
      <x:c r="B40" s="226" t="str">
        <x:f>IF(A40=0,"Старт",IF(A40&lt;='Допущения'!$C$12,"Разработка","Эксплуатация"))</x:f>
        <x:v>Эксплуатация</x:v>
      </x:c>
      <x:c r="C40" s="297" t="n">
        <x:f>IF(AND(A40&gt;=1,A40&lt;='Допущения'!$C$12),'Сравнение'!$B$31/'Допущения'!$C$12,0)</x:f>
        <x:v>0</x:v>
      </x:c>
      <x:c r="D40" s="297" t="n">
        <x:f>IF(A40=0,'Сравнение'!$B$32+'Сравнение'!$B$35+'Сравнение'!$B$36+'Сравнение'!$B$38,0)</x:f>
        <x:v>0</x:v>
      </x:c>
      <x:c r="E40" s="297" t="n">
        <x:f>IF(A40&gt;'Допущения'!$C$12,'Сравнение'!$B$43/12,0)</x:f>
        <x:v>125833.33333333333</x:v>
      </x:c>
      <x:c r="F40" s="297" t="n">
        <x:f>SUM(C40:E40)</x:f>
        <x:v>125833.33333333333</x:v>
      </x:c>
      <x:c r="G40" s="297" t="n">
        <x:f>IF(A40&gt;'Допущения'!$C$12,IF($A$5="Студенты",'Сравнение'!$D$9/12,'Сравнение'!$H$9/12),0)</x:f>
        <x:v>1752000</x:v>
      </x:c>
      <x:c r="H40" s="297" t="n">
        <x:f>IF(A40&gt;'Допущения'!$C$12,IF($A$5="Студенты",'Сравнение'!$D$13/12,'Сравнение'!$H$13/12),0)</x:f>
        <x:v>571428.5714285715</x:v>
      </x:c>
      <x:c r="I40" s="297" t="n">
        <x:f>IF(A40&gt;'Допущения'!$C$12,IF($A$5="Студенты",'Сравнение'!$D$17/12,'Сравнение'!$H$17/12),0)</x:f>
        <x:v>37333.333333333336</x:v>
      </x:c>
      <x:c r="J40" s="297" t="n">
        <x:f>SUM(G40:I40)</x:f>
        <x:v>2360761.904761905</x:v>
      </x:c>
      <x:c r="K40" s="297" t="n">
        <x:f>J40-F40</x:f>
        <x:v>2234928.5714285714</x:v>
      </x:c>
      <x:c r="L40" s="297" t="n">
        <x:f>L39+F40</x:f>
        <x:v>23974999.99999997</x:v>
      </x:c>
      <x:c r="M40" s="297" t="n">
        <x:f>M39+J40</x:f>
        <x:v>56658285.71428569</x:v>
      </x:c>
      <x:c r="N40" s="297" t="n">
        <x:f>N39+K40</x:f>
        <x:v>32683285.714285705</x:v>
      </x:c>
      <x:c r="O40" s="298" t="n">
        <x:f>IF(AND(N40&gt;=0,N39&lt;0),A40,0)</x:f>
        <x:v>0</x:v>
      </x:c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>
      <x:c r="A41" s="226" t="n">
        <x:v>31</x:v>
      </x:c>
      <x:c r="B41" s="226" t="str">
        <x:f>IF(A41=0,"Старт",IF(A41&lt;='Допущения'!$C$12,"Разработка","Эксплуатация"))</x:f>
        <x:v>Эксплуатация</x:v>
      </x:c>
      <x:c r="C41" s="297" t="n">
        <x:f>IF(AND(A41&gt;=1,A41&lt;='Допущения'!$C$12),'Сравнение'!$B$31/'Допущения'!$C$12,0)</x:f>
        <x:v>0</x:v>
      </x:c>
      <x:c r="D41" s="297" t="n">
        <x:f>IF(A41=0,'Сравнение'!$B$32+'Сравнение'!$B$35+'Сравнение'!$B$36+'Сравнение'!$B$38,0)</x:f>
        <x:v>0</x:v>
      </x:c>
      <x:c r="E41" s="297" t="n">
        <x:f>IF(A41&gt;'Допущения'!$C$12,'Сравнение'!$B$43/12,0)</x:f>
        <x:v>125833.33333333333</x:v>
      </x:c>
      <x:c r="F41" s="297" t="n">
        <x:f>SUM(C41:E41)</x:f>
        <x:v>125833.33333333333</x:v>
      </x:c>
      <x:c r="G41" s="297" t="n">
        <x:f>IF(A41&gt;'Допущения'!$C$12,IF($A$5="Студенты",'Сравнение'!$D$9/12,'Сравнение'!$H$9/12),0)</x:f>
        <x:v>1752000</x:v>
      </x:c>
      <x:c r="H41" s="297" t="n">
        <x:f>IF(A41&gt;'Допущения'!$C$12,IF($A$5="Студенты",'Сравнение'!$D$13/12,'Сравнение'!$H$13/12),0)</x:f>
        <x:v>571428.5714285715</x:v>
      </x:c>
      <x:c r="I41" s="297" t="n">
        <x:f>IF(A41&gt;'Допущения'!$C$12,IF($A$5="Студенты",'Сравнение'!$D$17/12,'Сравнение'!$H$17/12),0)</x:f>
        <x:v>37333.333333333336</x:v>
      </x:c>
      <x:c r="J41" s="297" t="n">
        <x:f>SUM(G41:I41)</x:f>
        <x:v>2360761.904761905</x:v>
      </x:c>
      <x:c r="K41" s="297" t="n">
        <x:f>J41-F41</x:f>
        <x:v>2234928.5714285714</x:v>
      </x:c>
      <x:c r="L41" s="297" t="n">
        <x:f>L40+F41</x:f>
        <x:v>24100833.333333302</x:v>
      </x:c>
      <x:c r="M41" s="297" t="n">
        <x:f>M40+J41</x:f>
        <x:v>59019047.61904759</x:v>
      </x:c>
      <x:c r="N41" s="297" t="n">
        <x:f>N40+K41</x:f>
        <x:v>34918214.285714276</x:v>
      </x:c>
      <x:c r="O41" s="298" t="n">
        <x:f>IF(AND(N41&gt;=0,N40&lt;0),A41,0)</x:f>
        <x:v>0</x:v>
      </x:c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>
      <x:c r="A42" s="226" t="n">
        <x:v>32</x:v>
      </x:c>
      <x:c r="B42" s="226" t="str">
        <x:f>IF(A42=0,"Старт",IF(A42&lt;='Допущения'!$C$12,"Разработка","Эксплуатация"))</x:f>
        <x:v>Эксплуатация</x:v>
      </x:c>
      <x:c r="C42" s="297" t="n">
        <x:f>IF(AND(A42&gt;=1,A42&lt;='Допущения'!$C$12),'Сравнение'!$B$31/'Допущения'!$C$12,0)</x:f>
        <x:v>0</x:v>
      </x:c>
      <x:c r="D42" s="297" t="n">
        <x:f>IF(A42=0,'Сравнение'!$B$32+'Сравнение'!$B$35+'Сравнение'!$B$36+'Сравнение'!$B$38,0)</x:f>
        <x:v>0</x:v>
      </x:c>
      <x:c r="E42" s="297" t="n">
        <x:f>IF(A42&gt;'Допущения'!$C$12,'Сравнение'!$B$43/12,0)</x:f>
        <x:v>125833.33333333333</x:v>
      </x:c>
      <x:c r="F42" s="297" t="n">
        <x:f>SUM(C42:E42)</x:f>
        <x:v>125833.33333333333</x:v>
      </x:c>
      <x:c r="G42" s="297" t="n">
        <x:f>IF(A42&gt;'Допущения'!$C$12,IF($A$5="Студенты",'Сравнение'!$D$9/12,'Сравнение'!$H$9/12),0)</x:f>
        <x:v>1752000</x:v>
      </x:c>
      <x:c r="H42" s="297" t="n">
        <x:f>IF(A42&gt;'Допущения'!$C$12,IF($A$5="Студенты",'Сравнение'!$D$13/12,'Сравнение'!$H$13/12),0)</x:f>
        <x:v>571428.5714285715</x:v>
      </x:c>
      <x:c r="I42" s="297" t="n">
        <x:f>IF(A42&gt;'Допущения'!$C$12,IF($A$5="Студенты",'Сравнение'!$D$17/12,'Сравнение'!$H$17/12),0)</x:f>
        <x:v>37333.333333333336</x:v>
      </x:c>
      <x:c r="J42" s="297" t="n">
        <x:f>SUM(G42:I42)</x:f>
        <x:v>2360761.904761905</x:v>
      </x:c>
      <x:c r="K42" s="297" t="n">
        <x:f>J42-F42</x:f>
        <x:v>2234928.5714285714</x:v>
      </x:c>
      <x:c r="L42" s="297" t="n">
        <x:f>L41+F42</x:f>
        <x:v>24226666.666666634</x:v>
      </x:c>
      <x:c r="M42" s="297" t="n">
        <x:f>M41+J42</x:f>
        <x:v>61379809.52380949</x:v>
      </x:c>
      <x:c r="N42" s="297" t="n">
        <x:f>N41+K42</x:f>
        <x:v>37153142.85714285</x:v>
      </x:c>
      <x:c r="O42" s="298" t="n">
        <x:f>IF(AND(N42&gt;=0,N41&lt;0),A42,0)</x:f>
        <x:v>0</x:v>
      </x:c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>
      <x:c r="A43" s="226" t="n">
        <x:v>33</x:v>
      </x:c>
      <x:c r="B43" s="226" t="str">
        <x:f>IF(A43=0,"Старт",IF(A43&lt;='Допущения'!$C$12,"Разработка","Эксплуатация"))</x:f>
        <x:v>Эксплуатация</x:v>
      </x:c>
      <x:c r="C43" s="297" t="n">
        <x:f>IF(AND(A43&gt;=1,A43&lt;='Допущения'!$C$12),'Сравнение'!$B$31/'Допущения'!$C$12,0)</x:f>
        <x:v>0</x:v>
      </x:c>
      <x:c r="D43" s="297" t="n">
        <x:f>IF(A43=0,'Сравнение'!$B$32+'Сравнение'!$B$35+'Сравнение'!$B$36+'Сравнение'!$B$38,0)</x:f>
        <x:v>0</x:v>
      </x:c>
      <x:c r="E43" s="297" t="n">
        <x:f>IF(A43&gt;'Допущения'!$C$12,'Сравнение'!$B$43/12,0)</x:f>
        <x:v>125833.33333333333</x:v>
      </x:c>
      <x:c r="F43" s="297" t="n">
        <x:f>SUM(C43:E43)</x:f>
        <x:v>125833.33333333333</x:v>
      </x:c>
      <x:c r="G43" s="297" t="n">
        <x:f>IF(A43&gt;'Допущения'!$C$12,IF($A$5="Студенты",'Сравнение'!$D$9/12,'Сравнение'!$H$9/12),0)</x:f>
        <x:v>1752000</x:v>
      </x:c>
      <x:c r="H43" s="297" t="n">
        <x:f>IF(A43&gt;'Допущения'!$C$12,IF($A$5="Студенты",'Сравнение'!$D$13/12,'Сравнение'!$H$13/12),0)</x:f>
        <x:v>571428.5714285715</x:v>
      </x:c>
      <x:c r="I43" s="297" t="n">
        <x:f>IF(A43&gt;'Допущения'!$C$12,IF($A$5="Студенты",'Сравнение'!$D$17/12,'Сравнение'!$H$17/12),0)</x:f>
        <x:v>37333.333333333336</x:v>
      </x:c>
      <x:c r="J43" s="297" t="n">
        <x:f>SUM(G43:I43)</x:f>
        <x:v>2360761.904761905</x:v>
      </x:c>
      <x:c r="K43" s="297" t="n">
        <x:f>J43-F43</x:f>
        <x:v>2234928.5714285714</x:v>
      </x:c>
      <x:c r="L43" s="297" t="n">
        <x:f>L42+F43</x:f>
        <x:v>24352499.999999966</x:v>
      </x:c>
      <x:c r="M43" s="297" t="n">
        <x:f>M42+J43</x:f>
        <x:v>63740571.428571396</x:v>
      </x:c>
      <x:c r="N43" s="297" t="n">
        <x:f>N42+K43</x:f>
        <x:v>39388071.428571425</x:v>
      </x:c>
      <x:c r="O43" s="298" t="n">
        <x:f>IF(AND(N43&gt;=0,N42&lt;0),A43,0)</x:f>
        <x:v>0</x:v>
      </x:c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>
      <x:c r="A44" s="226" t="n">
        <x:v>34</x:v>
      </x:c>
      <x:c r="B44" s="226" t="str">
        <x:f>IF(A44=0,"Старт",IF(A44&lt;='Допущения'!$C$12,"Разработка","Эксплуатация"))</x:f>
        <x:v>Эксплуатация</x:v>
      </x:c>
      <x:c r="C44" s="297" t="n">
        <x:f>IF(AND(A44&gt;=1,A44&lt;='Допущения'!$C$12),'Сравнение'!$B$31/'Допущения'!$C$12,0)</x:f>
        <x:v>0</x:v>
      </x:c>
      <x:c r="D44" s="297" t="n">
        <x:f>IF(A44=0,'Сравнение'!$B$32+'Сравнение'!$B$35+'Сравнение'!$B$36+'Сравнение'!$B$38,0)</x:f>
        <x:v>0</x:v>
      </x:c>
      <x:c r="E44" s="297" t="n">
        <x:f>IF(A44&gt;'Допущения'!$C$12,'Сравнение'!$B$43/12,0)</x:f>
        <x:v>125833.33333333333</x:v>
      </x:c>
      <x:c r="F44" s="297" t="n">
        <x:f>SUM(C44:E44)</x:f>
        <x:v>125833.33333333333</x:v>
      </x:c>
      <x:c r="G44" s="297" t="n">
        <x:f>IF(A44&gt;'Допущения'!$C$12,IF($A$5="Студенты",'Сравнение'!$D$9/12,'Сравнение'!$H$9/12),0)</x:f>
        <x:v>1752000</x:v>
      </x:c>
      <x:c r="H44" s="297" t="n">
        <x:f>IF(A44&gt;'Допущения'!$C$12,IF($A$5="Студенты",'Сравнение'!$D$13/12,'Сравнение'!$H$13/12),0)</x:f>
        <x:v>571428.5714285715</x:v>
      </x:c>
      <x:c r="I44" s="297" t="n">
        <x:f>IF(A44&gt;'Допущения'!$C$12,IF($A$5="Студенты",'Сравнение'!$D$17/12,'Сравнение'!$H$17/12),0)</x:f>
        <x:v>37333.333333333336</x:v>
      </x:c>
      <x:c r="J44" s="297" t="n">
        <x:f>SUM(G44:I44)</x:f>
        <x:v>2360761.904761905</x:v>
      </x:c>
      <x:c r="K44" s="297" t="n">
        <x:f>J44-F44</x:f>
        <x:v>2234928.5714285714</x:v>
      </x:c>
      <x:c r="L44" s="297" t="n">
        <x:f>L43+F44</x:f>
        <x:v>24478333.3333333</x:v>
      </x:c>
      <x:c r="M44" s="297" t="n">
        <x:f>M43+J44</x:f>
        <x:v>66101333.3333333</x:v>
      </x:c>
      <x:c r="N44" s="297" t="n">
        <x:f>N43+K44</x:f>
        <x:v>41623000</x:v>
      </x:c>
      <x:c r="O44" s="298" t="n">
        <x:f>IF(AND(N44&gt;=0,N43&lt;0),A44,0)</x:f>
        <x:v>0</x:v>
      </x:c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>
      <x:c r="A45" s="226" t="n">
        <x:v>35</x:v>
      </x:c>
      <x:c r="B45" s="226" t="str">
        <x:f>IF(A45=0,"Старт",IF(A45&lt;='Допущения'!$C$12,"Разработка","Эксплуатация"))</x:f>
        <x:v>Эксплуатация</x:v>
      </x:c>
      <x:c r="C45" s="297" t="n">
        <x:f>IF(AND(A45&gt;=1,A45&lt;='Допущения'!$C$12),'Сравнение'!$B$31/'Допущения'!$C$12,0)</x:f>
        <x:v>0</x:v>
      </x:c>
      <x:c r="D45" s="297" t="n">
        <x:f>IF(A45=0,'Сравнение'!$B$32+'Сравнение'!$B$35+'Сравнение'!$B$36+'Сравнение'!$B$38,0)</x:f>
        <x:v>0</x:v>
      </x:c>
      <x:c r="E45" s="297" t="n">
        <x:f>IF(A45&gt;'Допущения'!$C$12,'Сравнение'!$B$43/12,0)</x:f>
        <x:v>125833.33333333333</x:v>
      </x:c>
      <x:c r="F45" s="297" t="n">
        <x:f>SUM(C45:E45)</x:f>
        <x:v>125833.33333333333</x:v>
      </x:c>
      <x:c r="G45" s="297" t="n">
        <x:f>IF(A45&gt;'Допущения'!$C$12,IF($A$5="Студенты",'Сравнение'!$D$9/12,'Сравнение'!$H$9/12),0)</x:f>
        <x:v>1752000</x:v>
      </x:c>
      <x:c r="H45" s="297" t="n">
        <x:f>IF(A45&gt;'Допущения'!$C$12,IF($A$5="Студенты",'Сравнение'!$D$13/12,'Сравнение'!$H$13/12),0)</x:f>
        <x:v>571428.5714285715</x:v>
      </x:c>
      <x:c r="I45" s="297" t="n">
        <x:f>IF(A45&gt;'Допущения'!$C$12,IF($A$5="Студенты",'Сравнение'!$D$17/12,'Сравнение'!$H$17/12),0)</x:f>
        <x:v>37333.333333333336</x:v>
      </x:c>
      <x:c r="J45" s="297" t="n">
        <x:f>SUM(G45:I45)</x:f>
        <x:v>2360761.904761905</x:v>
      </x:c>
      <x:c r="K45" s="297" t="n">
        <x:f>J45-F45</x:f>
        <x:v>2234928.5714285714</x:v>
      </x:c>
      <x:c r="L45" s="297" t="n">
        <x:f>L44+F45</x:f>
        <x:v>24604166.66666663</x:v>
      </x:c>
      <x:c r="M45" s="297" t="n">
        <x:f>M44+J45</x:f>
        <x:v>68462095.23809521</x:v>
      </x:c>
      <x:c r="N45" s="297" t="n">
        <x:f>N44+K45</x:f>
        <x:v>43857928.571428575</x:v>
      </x:c>
      <x:c r="O45" s="298" t="n">
        <x:f>IF(AND(N45&gt;=0,N44&lt;0),A45,0)</x:f>
        <x:v>0</x:v>
      </x:c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>
      <x:c r="A46" s="226" t="n">
        <x:v>36</x:v>
      </x:c>
      <x:c r="B46" s="226" t="str">
        <x:f>IF(A46=0,"Старт",IF(A46&lt;='Допущения'!$C$12,"Разработка","Эксплуатация"))</x:f>
        <x:v>Эксплуатация</x:v>
      </x:c>
      <x:c r="C46" s="297" t="n">
        <x:f>IF(AND(A46&gt;=1,A46&lt;='Допущения'!$C$12),'Сравнение'!$B$31/'Допущения'!$C$12,0)</x:f>
        <x:v>0</x:v>
      </x:c>
      <x:c r="D46" s="297" t="n">
        <x:f>IF(A46=0,'Сравнение'!$B$32+'Сравнение'!$B$35+'Сравнение'!$B$36+'Сравнение'!$B$38,0)</x:f>
        <x:v>0</x:v>
      </x:c>
      <x:c r="E46" s="297" t="n">
        <x:f>IF(A46&gt;'Допущения'!$C$12,'Сравнение'!$B$43/12,0)</x:f>
        <x:v>125833.33333333333</x:v>
      </x:c>
      <x:c r="F46" s="297" t="n">
        <x:f>SUM(C46:E46)</x:f>
        <x:v>125833.33333333333</x:v>
      </x:c>
      <x:c r="G46" s="297" t="n">
        <x:f>IF(A46&gt;'Допущения'!$C$12,IF($A$5="Студенты",'Сравнение'!$D$9/12,'Сравнение'!$H$9/12),0)</x:f>
        <x:v>1752000</x:v>
      </x:c>
      <x:c r="H46" s="297" t="n">
        <x:f>IF(A46&gt;'Допущения'!$C$12,IF($A$5="Студенты",'Сравнение'!$D$13/12,'Сравнение'!$H$13/12),0)</x:f>
        <x:v>571428.5714285715</x:v>
      </x:c>
      <x:c r="I46" s="297" t="n">
        <x:f>IF(A46&gt;'Допущения'!$C$12,IF($A$5="Студенты",'Сравнение'!$D$17/12,'Сравнение'!$H$17/12),0)</x:f>
        <x:v>37333.333333333336</x:v>
      </x:c>
      <x:c r="J46" s="297" t="n">
        <x:f>SUM(G46:I46)</x:f>
        <x:v>2360761.904761905</x:v>
      </x:c>
      <x:c r="K46" s="297" t="n">
        <x:f>J46-F46</x:f>
        <x:v>2234928.5714285714</x:v>
      </x:c>
      <x:c r="L46" s="297" t="n">
        <x:f>L45+F46</x:f>
        <x:v>24729999.999999963</x:v>
      </x:c>
      <x:c r="M46" s="297" t="n">
        <x:f>M45+J46</x:f>
        <x:v>70822857.14285712</x:v>
      </x:c>
      <x:c r="N46" s="297" t="n">
        <x:f>N45+K46</x:f>
        <x:v>46092857.14285715</x:v>
      </x:c>
      <x:c r="O46" s="298" t="n">
        <x:f>IF(AND(N46&gt;=0,N45&lt;0),A46,0)</x:f>
        <x:v>0</x:v>
      </x:c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>
      <x:c r="A47" s="57"/>
      <x:c r="B47" s="57"/>
      <x:c r="C47" s="57"/>
      <x:c r="D47" s="57"/>
      <x:c r="E47" s="57"/>
      <x:c r="F47" s="57"/>
      <x:c r="G47" s="57"/>
      <x:c r="H47" s="57"/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>
      <x:c r="A48" s="57"/>
      <x:c r="B48" s="57"/>
      <x:c r="C48" s="57"/>
      <x:c r="D48" s="57"/>
      <x:c r="E48" s="57"/>
      <x:c r="F48" s="57"/>
      <x:c r="G48" s="57"/>
      <x:c r="H48" s="57"/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>
      <x:c r="A49" s="57"/>
      <x:c r="B49" s="57"/>
      <x:c r="C49" s="57"/>
      <x:c r="D49" s="57"/>
      <x:c r="E49" s="57"/>
      <x:c r="F49" s="57"/>
      <x:c r="G49" s="57"/>
      <x:c r="H49" s="57"/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>
      <x:c r="A50" s="57"/>
      <x:c r="B50" s="57"/>
      <x:c r="C50" s="57"/>
      <x:c r="D50" s="57"/>
      <x:c r="E50" s="57"/>
      <x:c r="F50" s="57"/>
      <x:c r="G50" s="57"/>
      <x:c r="H50" s="57"/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>
      <x:c r="A51" s="57"/>
      <x:c r="B51" s="57"/>
      <x:c r="C51" s="57"/>
      <x:c r="D51" s="57"/>
      <x:c r="E51" s="57"/>
      <x:c r="F51" s="57"/>
      <x:c r="G51" s="57"/>
      <x:c r="H51" s="57"/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>
      <x:c r="A52" s="57"/>
      <x:c r="B52" s="57"/>
      <x:c r="C52" s="57"/>
      <x:c r="D52" s="57"/>
      <x:c r="E52" s="57"/>
      <x:c r="F52" s="57"/>
      <x:c r="G52" s="57"/>
      <x:c r="H52" s="57"/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>
      <x:c r="A53" s="57"/>
      <x:c r="B53" s="57"/>
      <x:c r="C53" s="57"/>
      <x:c r="D53" s="57"/>
      <x:c r="E53" s="57"/>
      <x:c r="F53" s="57"/>
      <x:c r="G53" s="57"/>
      <x:c r="H53" s="57"/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>
      <x:c r="A54" s="57"/>
      <x:c r="B54" s="57"/>
      <x:c r="C54" s="57"/>
      <x:c r="D54" s="57"/>
      <x:c r="E54" s="57"/>
      <x:c r="F54" s="57"/>
      <x:c r="G54" s="57"/>
      <x:c r="H54" s="57"/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>
      <x:c r="A55" s="57"/>
      <x:c r="B55" s="57"/>
      <x:c r="C55" s="57"/>
      <x:c r="D55" s="57"/>
      <x:c r="E55" s="57"/>
      <x:c r="F55" s="57"/>
      <x:c r="G55" s="57"/>
      <x:c r="H55" s="57"/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>
      <x:c r="A56" s="57"/>
      <x:c r="B56" s="57"/>
      <x:c r="C56" s="57"/>
      <x:c r="D56" s="57"/>
      <x:c r="E56" s="57"/>
      <x:c r="F56" s="57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>
      <x:c r="A57" s="57"/>
      <x:c r="B57" s="57"/>
      <x:c r="C57" s="57"/>
      <x:c r="D57" s="57"/>
      <x:c r="E57" s="57"/>
      <x:c r="F57" s="57"/>
      <x:c r="G57" s="57"/>
      <x:c r="H57" s="57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>
      <x:c r="A58" s="57"/>
      <x:c r="B58" s="57"/>
      <x:c r="C58" s="57"/>
      <x:c r="D58" s="57"/>
      <x:c r="E58" s="57"/>
      <x:c r="F58" s="57"/>
      <x:c r="G58" s="57"/>
      <x:c r="H58" s="57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>
      <x:c r="A59" s="57"/>
      <x:c r="B59" s="57"/>
      <x:c r="C59" s="57"/>
      <x:c r="D59" s="57"/>
      <x:c r="E59" s="57"/>
      <x:c r="F59" s="57"/>
      <x:c r="G59" s="57"/>
      <x:c r="H59" s="57"/>
      <x:c r="I59" s="57"/>
      <x:c r="J59" s="57"/>
      <x:c r="K59" s="57"/>
      <x:c r="L59" s="57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>
      <x:c r="A60" s="57"/>
      <x:c r="B60" s="57"/>
      <x:c r="C60" s="57"/>
      <x:c r="D60" s="57"/>
      <x:c r="E60" s="57"/>
      <x:c r="F60" s="57"/>
      <x:c r="G60" s="57"/>
      <x:c r="H60" s="57"/>
      <x:c r="I60" s="57"/>
      <x:c r="J60" s="57"/>
      <x:c r="K60" s="57"/>
      <x:c r="L60" s="57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>
      <x:c r="A61" s="57"/>
      <x:c r="B61" s="57"/>
      <x:c r="C61" s="57"/>
      <x:c r="D61" s="57"/>
      <x:c r="E61" s="57"/>
      <x:c r="F61" s="57"/>
      <x:c r="G61" s="57"/>
      <x:c r="H61" s="57"/>
      <x:c r="I61" s="57"/>
      <x:c r="J61" s="57"/>
      <x:c r="K61" s="57"/>
      <x:c r="L61" s="57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>
      <x:c r="A62" s="57"/>
      <x:c r="B62" s="57"/>
      <x:c r="C62" s="57"/>
      <x:c r="D62" s="57"/>
      <x:c r="E62" s="57"/>
      <x:c r="F62" s="57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>
      <x:c r="A63" s="57"/>
      <x:c r="B63" s="57"/>
      <x:c r="C63" s="57"/>
      <x:c r="D63" s="57"/>
      <x:c r="E63" s="57"/>
      <x:c r="F63" s="57"/>
      <x:c r="G63" s="57"/>
      <x:c r="H63" s="57"/>
      <x:c r="I63" s="57"/>
      <x:c r="J63" s="57"/>
      <x:c r="K63" s="57"/>
      <x:c r="L63" s="57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>
      <x:c r="A64" s="57"/>
      <x:c r="B64" s="57"/>
      <x:c r="C64" s="57"/>
      <x:c r="D64" s="57"/>
      <x:c r="E64" s="57"/>
      <x:c r="F64" s="57"/>
      <x:c r="G64" s="57"/>
      <x:c r="H64" s="57"/>
      <x:c r="I64" s="57"/>
      <x:c r="J64" s="57"/>
      <x:c r="K64" s="57"/>
      <x:c r="L64" s="57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>
      <x:c r="A65" s="57"/>
      <x:c r="B65" s="57"/>
      <x:c r="C65" s="57"/>
      <x:c r="D65" s="57"/>
      <x:c r="E65" s="57"/>
      <x:c r="F65" s="57"/>
      <x:c r="G65" s="57"/>
      <x:c r="H65" s="57"/>
      <x:c r="I65" s="57"/>
      <x:c r="J65" s="57"/>
      <x:c r="K65" s="57"/>
      <x:c r="L65" s="57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>
      <x:c r="A66" s="57"/>
      <x:c r="B66" s="57"/>
      <x:c r="C66" s="57"/>
      <x:c r="D66" s="57"/>
      <x:c r="E66" s="57"/>
      <x:c r="F66" s="57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>
      <x:c r="A67" s="57"/>
      <x:c r="B67" s="57"/>
      <x:c r="C67" s="57"/>
      <x:c r="D67" s="57"/>
      <x:c r="E67" s="57"/>
      <x:c r="F67" s="57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>
      <x:c r="A68" s="57"/>
      <x:c r="B68" s="57"/>
      <x:c r="C68" s="57"/>
      <x:c r="D68" s="57"/>
      <x:c r="E68" s="57"/>
      <x:c r="F68" s="57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>
      <x:c r="A69" s="57"/>
      <x:c r="B69" s="57"/>
      <x:c r="C69" s="57"/>
      <x:c r="D69" s="57"/>
      <x:c r="E69" s="57"/>
      <x:c r="F69" s="57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>
      <x:c r="A70" s="57"/>
      <x:c r="B70" s="57"/>
      <x:c r="C70" s="57"/>
      <x:c r="D70" s="57"/>
      <x:c r="E70" s="57"/>
      <x:c r="F70" s="57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>
      <x:c r="A71" s="57"/>
      <x:c r="B71" s="57"/>
      <x:c r="C71" s="57"/>
      <x:c r="D71" s="57"/>
      <x:c r="E71" s="57"/>
      <x:c r="F71" s="57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>
      <x:c r="A72" s="57"/>
      <x:c r="B72" s="57"/>
      <x:c r="C72" s="57"/>
      <x:c r="D72" s="57"/>
      <x:c r="E72" s="57"/>
      <x:c r="F72" s="57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>
      <x:c r="A73" s="57"/>
      <x:c r="B73" s="57"/>
      <x:c r="C73" s="57"/>
      <x:c r="D73" s="57"/>
      <x:c r="E73" s="57"/>
      <x:c r="F73" s="57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>
      <x:c r="A74" s="57"/>
      <x:c r="B74" s="57"/>
      <x:c r="C74" s="57"/>
      <x:c r="D74" s="57"/>
      <x:c r="E74" s="57"/>
      <x:c r="F74" s="57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>
      <x:c r="A75" s="57"/>
      <x:c r="B75" s="57"/>
      <x:c r="C75" s="57"/>
      <x:c r="D75" s="57"/>
      <x:c r="E75" s="57"/>
      <x:c r="F75" s="57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>
      <x:c r="A76" s="57"/>
      <x:c r="B76" s="57"/>
      <x:c r="C76" s="57"/>
      <x:c r="D76" s="57"/>
      <x:c r="E76" s="57"/>
      <x:c r="F76" s="57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>
      <x:c r="A77" s="57"/>
      <x:c r="B77" s="57"/>
      <x:c r="C77" s="57"/>
      <x:c r="D77" s="57"/>
      <x:c r="E77" s="57"/>
      <x:c r="F77" s="57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>
      <x:c r="A78" s="57"/>
      <x:c r="B78" s="57"/>
      <x:c r="C78" s="57"/>
      <x:c r="D78" s="57"/>
      <x:c r="E78" s="57"/>
      <x:c r="F78" s="57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>
      <x:c r="A79" s="57"/>
      <x:c r="B79" s="57"/>
      <x:c r="C79" s="57"/>
      <x:c r="D79" s="57"/>
      <x:c r="E79" s="57"/>
      <x:c r="F79" s="57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>
      <x:c r="A80" s="57"/>
      <x:c r="B80" s="57"/>
      <x:c r="C80" s="57"/>
      <x:c r="D80" s="57"/>
      <x:c r="E80" s="57"/>
      <x:c r="F80" s="57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>
      <x:c r="A81" s="57"/>
      <x:c r="B81" s="57"/>
      <x:c r="C81" s="57"/>
      <x:c r="D81" s="57"/>
      <x:c r="E81" s="57"/>
      <x:c r="F81" s="57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>
      <x:c r="A82" s="57"/>
      <x:c r="B82" s="57"/>
      <x:c r="C82" s="57"/>
      <x:c r="D82" s="57"/>
      <x:c r="E82" s="57"/>
      <x:c r="F82" s="57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>
      <x:c r="A83" s="57"/>
      <x:c r="B83" s="57"/>
      <x:c r="C83" s="57"/>
      <x:c r="D83" s="57"/>
      <x:c r="E83" s="57"/>
      <x:c r="F83" s="57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>
      <x:c r="A84" s="57"/>
      <x:c r="B84" s="57"/>
      <x:c r="C84" s="57"/>
      <x:c r="D84" s="57"/>
      <x:c r="E84" s="57"/>
      <x:c r="F84" s="57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>
      <x:c r="A85" s="57"/>
      <x:c r="B85" s="57"/>
      <x:c r="C85" s="57"/>
      <x:c r="D85" s="57"/>
      <x:c r="E85" s="57"/>
      <x:c r="F85" s="57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>
      <x:c r="A86" s="57"/>
      <x:c r="B86" s="57"/>
      <x:c r="C86" s="57"/>
      <x:c r="D86" s="57"/>
      <x:c r="E86" s="57"/>
      <x:c r="F86" s="57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>
      <x:c r="A87" s="57"/>
      <x:c r="B87" s="57"/>
      <x:c r="C87" s="57"/>
      <x:c r="D87" s="57"/>
      <x:c r="E87" s="57"/>
      <x:c r="F87" s="57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>
      <x:c r="A88" s="57"/>
      <x:c r="B88" s="57"/>
      <x:c r="C88" s="57"/>
      <x:c r="D88" s="57"/>
      <x:c r="E88" s="57"/>
      <x:c r="F88" s="57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>
      <x:c r="A89" s="57"/>
      <x:c r="B89" s="57"/>
      <x:c r="C89" s="57"/>
      <x:c r="D89" s="57"/>
      <x:c r="E89" s="57"/>
      <x:c r="F89" s="57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>
      <x:c r="A90" s="57"/>
      <x:c r="B90" s="57"/>
      <x:c r="C90" s="57"/>
      <x:c r="D90" s="57"/>
      <x:c r="E90" s="57"/>
      <x:c r="F90" s="57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>
      <x:c r="A91" s="57"/>
      <x:c r="B91" s="57"/>
      <x:c r="C91" s="57"/>
      <x:c r="D91" s="57"/>
      <x:c r="E91" s="57"/>
      <x:c r="F91" s="57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>
      <x:c r="A92" s="57"/>
      <x:c r="B92" s="57"/>
      <x:c r="C92" s="57"/>
      <x:c r="D92" s="57"/>
      <x:c r="E92" s="57"/>
      <x:c r="F92" s="57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>
      <x:c r="A93" s="57"/>
      <x:c r="B93" s="57"/>
      <x:c r="C93" s="57"/>
      <x:c r="D93" s="57"/>
      <x:c r="E93" s="57"/>
      <x:c r="F93" s="57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>
      <x:c r="A94" s="57"/>
      <x:c r="B94" s="57"/>
      <x:c r="C94" s="57"/>
      <x:c r="D94" s="57"/>
      <x:c r="E94" s="57"/>
      <x:c r="F94" s="57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>
      <x:c r="A95" s="57"/>
      <x:c r="B95" s="57"/>
      <x:c r="C95" s="57"/>
      <x:c r="D95" s="57"/>
      <x:c r="E95" s="57"/>
      <x:c r="F95" s="57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>
      <x:c r="A96" s="57"/>
      <x:c r="B96" s="57"/>
      <x:c r="C96" s="57"/>
      <x:c r="D96" s="57"/>
      <x:c r="E96" s="57"/>
      <x:c r="F96" s="57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>
      <x:c r="A97" s="57"/>
      <x:c r="B97" s="57"/>
      <x:c r="C97" s="57"/>
      <x:c r="D97" s="57"/>
      <x:c r="E97" s="57"/>
      <x:c r="F97" s="57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>
      <x:c r="A98" s="57"/>
      <x:c r="B98" s="57"/>
      <x:c r="C98" s="57"/>
      <x:c r="D98" s="57"/>
      <x:c r="E98" s="57"/>
      <x:c r="F98" s="57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>
      <x:c r="A99" s="57"/>
      <x:c r="B99" s="57"/>
      <x:c r="C99" s="57"/>
      <x:c r="D99" s="57"/>
      <x:c r="E99" s="57"/>
      <x:c r="F99" s="57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>
      <x:c r="A100" s="57"/>
      <x:c r="B100" s="57"/>
      <x:c r="C100" s="57"/>
      <x:c r="D100" s="57"/>
      <x:c r="E100" s="57"/>
      <x:c r="F100" s="57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>
      <x:c r="A101" s="57"/>
      <x:c r="B101" s="57"/>
      <x:c r="C101" s="57"/>
      <x:c r="D101" s="57"/>
      <x:c r="E101" s="57"/>
      <x:c r="F101" s="57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>
      <x:c r="A102" s="57"/>
      <x:c r="B102" s="57"/>
      <x:c r="C102" s="57"/>
      <x:c r="D102" s="57"/>
      <x:c r="E102" s="57"/>
      <x:c r="F102" s="57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>
      <x:c r="A103" s="57"/>
      <x:c r="B103" s="57"/>
      <x:c r="C103" s="57"/>
      <x:c r="D103" s="57"/>
      <x:c r="E103" s="57"/>
      <x:c r="F103" s="57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>
      <x:c r="A104" s="57"/>
      <x:c r="B104" s="57"/>
      <x:c r="C104" s="57"/>
      <x:c r="D104" s="57"/>
      <x:c r="E104" s="57"/>
      <x:c r="F104" s="57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>
      <x:c r="A105" s="57"/>
      <x:c r="B105" s="57"/>
      <x:c r="C105" s="57"/>
      <x:c r="D105" s="57"/>
      <x:c r="E105" s="57"/>
      <x:c r="F105" s="57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>
      <x:c r="A106" s="57"/>
      <x:c r="B106" s="57"/>
      <x:c r="C106" s="57"/>
      <x:c r="D106" s="57"/>
      <x:c r="E106" s="57"/>
      <x:c r="F106" s="57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>
      <x:c r="A107" s="57"/>
      <x:c r="B107" s="57"/>
      <x:c r="C107" s="57"/>
      <x:c r="D107" s="57"/>
      <x:c r="E107" s="57"/>
      <x:c r="F107" s="57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>
      <x:c r="A108" s="57"/>
      <x:c r="B108" s="57"/>
      <x:c r="C108" s="57"/>
      <x:c r="D108" s="57"/>
      <x:c r="E108" s="57"/>
      <x:c r="F108" s="57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>
      <x:c r="A109" s="57"/>
      <x:c r="B109" s="57"/>
      <x:c r="C109" s="57"/>
      <x:c r="D109" s="57"/>
      <x:c r="E109" s="57"/>
      <x:c r="F109" s="57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>
      <x:c r="A110" s="57"/>
      <x:c r="B110" s="57"/>
      <x:c r="C110" s="57"/>
      <x:c r="D110" s="57"/>
      <x:c r="E110" s="57"/>
      <x:c r="F110" s="57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>
      <x:c r="A111" s="57"/>
      <x:c r="B111" s="57"/>
      <x:c r="C111" s="57"/>
      <x:c r="D111" s="57"/>
      <x:c r="E111" s="57"/>
      <x:c r="F111" s="57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>
      <x:c r="A112" s="57"/>
      <x:c r="B112" s="57"/>
      <x:c r="C112" s="57"/>
      <x:c r="D112" s="57"/>
      <x:c r="E112" s="57"/>
      <x:c r="F112" s="57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>
      <x:c r="A113" s="57"/>
      <x:c r="B113" s="57"/>
      <x:c r="C113" s="57"/>
      <x:c r="D113" s="57"/>
      <x:c r="E113" s="57"/>
      <x:c r="F113" s="57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>
      <x:c r="A114" s="57"/>
      <x:c r="B114" s="57"/>
      <x:c r="C114" s="57"/>
      <x:c r="D114" s="57"/>
      <x:c r="E114" s="57"/>
      <x:c r="F114" s="57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>
      <x:c r="A115" s="57"/>
      <x:c r="B115" s="57"/>
      <x:c r="C115" s="57"/>
      <x:c r="D115" s="57"/>
      <x:c r="E115" s="57"/>
      <x:c r="F115" s="57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>
      <x:c r="A116" s="57"/>
      <x:c r="B116" s="57"/>
      <x:c r="C116" s="57"/>
      <x:c r="D116" s="57"/>
      <x:c r="E116" s="57"/>
      <x:c r="F116" s="57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>
      <x:c r="A117" s="57"/>
      <x:c r="B117" s="57"/>
      <x:c r="C117" s="57"/>
      <x:c r="D117" s="57"/>
      <x:c r="E117" s="57"/>
      <x:c r="F117" s="57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>
      <x:c r="A118" s="57"/>
      <x:c r="B118" s="57"/>
      <x:c r="C118" s="57"/>
      <x:c r="D118" s="57"/>
      <x:c r="E118" s="57"/>
      <x:c r="F118" s="57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>
      <x:c r="A119" s="57"/>
      <x:c r="B119" s="57"/>
      <x:c r="C119" s="57"/>
      <x:c r="D119" s="57"/>
      <x:c r="E119" s="57"/>
      <x:c r="F119" s="57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>
      <x:c r="A120" s="57"/>
      <x:c r="B120" s="57"/>
      <x:c r="C120" s="57"/>
      <x:c r="D120" s="57"/>
      <x:c r="E120" s="57"/>
      <x:c r="F120" s="57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>
      <x:c r="A121" s="57"/>
      <x:c r="B121" s="57"/>
      <x:c r="C121" s="57"/>
      <x:c r="D121" s="57"/>
      <x:c r="E121" s="57"/>
      <x:c r="F121" s="57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>
      <x:c r="A122" s="57"/>
      <x:c r="B122" s="57"/>
      <x:c r="C122" s="57"/>
      <x:c r="D122" s="57"/>
      <x:c r="E122" s="57"/>
      <x:c r="F122" s="57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>
      <x:c r="A123" s="57"/>
      <x:c r="B123" s="57"/>
      <x:c r="C123" s="57"/>
      <x:c r="D123" s="57"/>
      <x:c r="E123" s="57"/>
      <x:c r="F123" s="57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>
      <x:c r="A124" s="57"/>
      <x:c r="B124" s="57"/>
      <x:c r="C124" s="57"/>
      <x:c r="D124" s="57"/>
      <x:c r="E124" s="57"/>
      <x:c r="F124" s="57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>
      <x:c r="A125" s="57"/>
      <x:c r="B125" s="57"/>
      <x:c r="C125" s="57"/>
      <x:c r="D125" s="57"/>
      <x:c r="E125" s="57"/>
      <x:c r="F125" s="57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>
      <x:c r="A126" s="57"/>
      <x:c r="B126" s="57"/>
      <x:c r="C126" s="57"/>
      <x:c r="D126" s="57"/>
      <x:c r="E126" s="57"/>
      <x:c r="F126" s="57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>
      <x:c r="A127" s="57"/>
      <x:c r="B127" s="57"/>
      <x:c r="C127" s="57"/>
      <x:c r="D127" s="57"/>
      <x:c r="E127" s="57"/>
      <x:c r="F127" s="57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>
      <x:c r="A128" s="57"/>
      <x:c r="B128" s="57"/>
      <x:c r="C128" s="57"/>
      <x:c r="D128" s="57"/>
      <x:c r="E128" s="57"/>
      <x:c r="F128" s="57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>
      <x:c r="A129" s="57"/>
      <x:c r="B129" s="57"/>
      <x:c r="C129" s="57"/>
      <x:c r="D129" s="57"/>
      <x:c r="E129" s="57"/>
      <x:c r="F129" s="57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>
      <x:c r="A130" s="57"/>
      <x:c r="B130" s="57"/>
      <x:c r="C130" s="57"/>
      <x:c r="D130" s="57"/>
      <x:c r="E130" s="57"/>
      <x:c r="F130" s="57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>
      <x:c r="A131" s="57"/>
      <x:c r="B131" s="57"/>
      <x:c r="C131" s="57"/>
      <x:c r="D131" s="57"/>
      <x:c r="E131" s="57"/>
      <x:c r="F131" s="57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>
      <x:c r="A132" s="57"/>
      <x:c r="B132" s="57"/>
      <x:c r="C132" s="57"/>
      <x:c r="D132" s="57"/>
      <x:c r="E132" s="57"/>
      <x:c r="F132" s="57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>
      <x:c r="A133" s="57"/>
      <x:c r="B133" s="57"/>
      <x:c r="C133" s="57"/>
      <x:c r="D133" s="57"/>
      <x:c r="E133" s="57"/>
      <x:c r="F133" s="57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>
      <x:c r="A134" s="57"/>
      <x:c r="B134" s="57"/>
      <x:c r="C134" s="57"/>
      <x:c r="D134" s="57"/>
      <x:c r="E134" s="57"/>
      <x:c r="F134" s="57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>
      <x:c r="A135" s="57"/>
      <x:c r="B135" s="57"/>
      <x:c r="C135" s="57"/>
      <x:c r="D135" s="57"/>
      <x:c r="E135" s="57"/>
      <x:c r="F135" s="57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>
      <x:c r="A136" s="57"/>
      <x:c r="B136" s="57"/>
      <x:c r="C136" s="57"/>
      <x:c r="D136" s="57"/>
      <x:c r="E136" s="57"/>
      <x:c r="F136" s="57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>
      <x:c r="A137" s="57"/>
      <x:c r="B137" s="57"/>
      <x:c r="C137" s="57"/>
      <x:c r="D137" s="57"/>
      <x:c r="E137" s="57"/>
      <x:c r="F137" s="57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>
      <x:c r="A138" s="57"/>
      <x:c r="B138" s="57"/>
      <x:c r="C138" s="57"/>
      <x:c r="D138" s="57"/>
      <x:c r="E138" s="57"/>
      <x:c r="F138" s="57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>
      <x:c r="A139" s="57"/>
      <x:c r="B139" s="57"/>
      <x:c r="C139" s="57"/>
      <x:c r="D139" s="57"/>
      <x:c r="E139" s="57"/>
      <x:c r="F139" s="57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>
      <x:c r="A140" s="57"/>
      <x:c r="B140" s="57"/>
      <x:c r="C140" s="57"/>
      <x:c r="D140" s="57"/>
      <x:c r="E140" s="57"/>
      <x:c r="F140" s="57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>
      <x:c r="A141" s="57"/>
      <x:c r="B141" s="57"/>
      <x:c r="C141" s="57"/>
      <x:c r="D141" s="57"/>
      <x:c r="E141" s="57"/>
      <x:c r="F141" s="57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>
      <x:c r="A142" s="57"/>
      <x:c r="B142" s="57"/>
      <x:c r="C142" s="57"/>
      <x:c r="D142" s="57"/>
      <x:c r="E142" s="57"/>
      <x:c r="F142" s="57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>
      <x:c r="A143" s="57"/>
      <x:c r="B143" s="57"/>
      <x:c r="C143" s="57"/>
      <x:c r="D143" s="57"/>
      <x:c r="E143" s="57"/>
      <x:c r="F143" s="57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>
      <x:c r="A144" s="57"/>
      <x:c r="B144" s="57"/>
      <x:c r="C144" s="57"/>
      <x:c r="D144" s="57"/>
      <x:c r="E144" s="57"/>
      <x:c r="F144" s="57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>
      <x:c r="A145" s="57"/>
      <x:c r="B145" s="57"/>
      <x:c r="C145" s="57"/>
      <x:c r="D145" s="57"/>
      <x:c r="E145" s="57"/>
      <x:c r="F145" s="57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>
      <x:c r="A146" s="57"/>
      <x:c r="B146" s="57"/>
      <x:c r="C146" s="57"/>
      <x:c r="D146" s="57"/>
      <x:c r="E146" s="57"/>
      <x:c r="F146" s="57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>
      <x:c r="A147" s="57"/>
      <x:c r="B147" s="57"/>
      <x:c r="C147" s="57"/>
      <x:c r="D147" s="57"/>
      <x:c r="E147" s="57"/>
      <x:c r="F147" s="57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>
      <x:c r="A148" s="57"/>
      <x:c r="B148" s="57"/>
      <x:c r="C148" s="57"/>
      <x:c r="D148" s="57"/>
      <x:c r="E148" s="57"/>
      <x:c r="F148" s="57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>
      <x:c r="A149" s="57"/>
      <x:c r="B149" s="57"/>
      <x:c r="C149" s="57"/>
      <x:c r="D149" s="57"/>
      <x:c r="E149" s="57"/>
      <x:c r="F149" s="57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>
      <x:c r="A150" s="57"/>
      <x:c r="B150" s="57"/>
      <x:c r="C150" s="57"/>
      <x:c r="D150" s="57"/>
      <x:c r="E150" s="57"/>
      <x:c r="F150" s="57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>
      <x:c r="A151" s="57"/>
      <x:c r="B151" s="57"/>
      <x:c r="C151" s="57"/>
      <x:c r="D151" s="57"/>
      <x:c r="E151" s="57"/>
      <x:c r="F151" s="57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>
      <x:c r="A152" s="57"/>
      <x:c r="B152" s="57"/>
      <x:c r="C152" s="57"/>
      <x:c r="D152" s="57"/>
      <x:c r="E152" s="57"/>
      <x:c r="F152" s="57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>
      <x:c r="A153" s="57"/>
      <x:c r="B153" s="57"/>
      <x:c r="C153" s="57"/>
      <x:c r="D153" s="57"/>
      <x:c r="E153" s="57"/>
      <x:c r="F153" s="57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>
      <x:c r="A154" s="57"/>
      <x:c r="B154" s="57"/>
      <x:c r="C154" s="57"/>
      <x:c r="D154" s="57"/>
      <x:c r="E154" s="57"/>
      <x:c r="F154" s="57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>
      <x:c r="A155" s="57"/>
      <x:c r="B155" s="57"/>
      <x:c r="C155" s="57"/>
      <x:c r="D155" s="57"/>
      <x:c r="E155" s="57"/>
      <x:c r="F155" s="57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>
      <x:c r="A156" s="57"/>
      <x:c r="B156" s="57"/>
      <x:c r="C156" s="57"/>
      <x:c r="D156" s="57"/>
      <x:c r="E156" s="57"/>
      <x:c r="F156" s="57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>
      <x:c r="A157" s="57"/>
      <x:c r="B157" s="57"/>
      <x:c r="C157" s="57"/>
      <x:c r="D157" s="57"/>
      <x:c r="E157" s="57"/>
      <x:c r="F157" s="57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>
      <x:c r="A158" s="57"/>
      <x:c r="B158" s="57"/>
      <x:c r="C158" s="57"/>
      <x:c r="D158" s="57"/>
      <x:c r="E158" s="57"/>
      <x:c r="F158" s="57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>
      <x:c r="A159" s="57"/>
      <x:c r="B159" s="57"/>
      <x:c r="C159" s="57"/>
      <x:c r="D159" s="57"/>
      <x:c r="E159" s="57"/>
      <x:c r="F159" s="57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>
      <x:c r="A160" s="57"/>
      <x:c r="B160" s="57"/>
      <x:c r="C160" s="57"/>
      <x:c r="D160" s="57"/>
      <x:c r="E160" s="57"/>
      <x:c r="F160" s="57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>
      <x:c r="A161" s="57"/>
      <x:c r="B161" s="57"/>
      <x:c r="C161" s="57"/>
      <x:c r="D161" s="57"/>
      <x:c r="E161" s="57"/>
      <x:c r="F161" s="57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>
      <x:c r="A162" s="57"/>
      <x:c r="B162" s="57"/>
      <x:c r="C162" s="57"/>
      <x:c r="D162" s="57"/>
      <x:c r="E162" s="57"/>
      <x:c r="F162" s="57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>
      <x:c r="A163" s="57"/>
      <x:c r="B163" s="57"/>
      <x:c r="C163" s="57"/>
      <x:c r="D163" s="57"/>
      <x:c r="E163" s="57"/>
      <x:c r="F163" s="57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>
      <x:c r="A164" s="57"/>
      <x:c r="B164" s="57"/>
      <x:c r="C164" s="57"/>
      <x:c r="D164" s="57"/>
      <x:c r="E164" s="57"/>
      <x:c r="F164" s="57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>
      <x:c r="A165" s="57"/>
      <x:c r="B165" s="57"/>
      <x:c r="C165" s="57"/>
      <x:c r="D165" s="57"/>
      <x:c r="E165" s="57"/>
      <x:c r="F165" s="57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>
      <x:c r="A166" s="57"/>
      <x:c r="B166" s="57"/>
      <x:c r="C166" s="57"/>
      <x:c r="D166" s="57"/>
      <x:c r="E166" s="57"/>
      <x:c r="F166" s="57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>
      <x:c r="A167" s="57"/>
      <x:c r="B167" s="57"/>
      <x:c r="C167" s="57"/>
      <x:c r="D167" s="57"/>
      <x:c r="E167" s="57"/>
      <x:c r="F167" s="57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>
      <x:c r="A168" s="57"/>
      <x:c r="B168" s="57"/>
      <x:c r="C168" s="57"/>
      <x:c r="D168" s="57"/>
      <x:c r="E168" s="57"/>
      <x:c r="F168" s="57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>
      <x:c r="A169" s="57"/>
      <x:c r="B169" s="57"/>
      <x:c r="C169" s="57"/>
      <x:c r="D169" s="57"/>
      <x:c r="E169" s="57"/>
      <x:c r="F169" s="57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>
      <x:c r="A170" s="57"/>
      <x:c r="B170" s="57"/>
      <x:c r="C170" s="57"/>
      <x:c r="D170" s="57"/>
      <x:c r="E170" s="57"/>
      <x:c r="F170" s="57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>
      <x:c r="A171" s="57"/>
      <x:c r="B171" s="57"/>
      <x:c r="C171" s="57"/>
      <x:c r="D171" s="57"/>
      <x:c r="E171" s="57"/>
      <x:c r="F171" s="57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>
      <x:c r="A172" s="57"/>
      <x:c r="B172" s="57"/>
      <x:c r="C172" s="57"/>
      <x:c r="D172" s="57"/>
      <x:c r="E172" s="57"/>
      <x:c r="F172" s="57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>
      <x:c r="A173" s="57"/>
      <x:c r="B173" s="57"/>
      <x:c r="C173" s="57"/>
      <x:c r="D173" s="57"/>
      <x:c r="E173" s="57"/>
      <x:c r="F173" s="57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>
      <x:c r="A174" s="57"/>
      <x:c r="B174" s="57"/>
      <x:c r="C174" s="57"/>
      <x:c r="D174" s="57"/>
      <x:c r="E174" s="57"/>
      <x:c r="F174" s="57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>
      <x:c r="A175" s="57"/>
      <x:c r="B175" s="57"/>
      <x:c r="C175" s="57"/>
      <x:c r="D175" s="57"/>
      <x:c r="E175" s="57"/>
      <x:c r="F175" s="57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>
      <x:c r="A176" s="57"/>
      <x:c r="B176" s="57"/>
      <x:c r="C176" s="57"/>
      <x:c r="D176" s="57"/>
      <x:c r="E176" s="57"/>
      <x:c r="F176" s="57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>
      <x:c r="A177" s="57"/>
      <x:c r="B177" s="57"/>
      <x:c r="C177" s="57"/>
      <x:c r="D177" s="57"/>
      <x:c r="E177" s="57"/>
      <x:c r="F177" s="57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>
      <x:c r="A178" s="57"/>
      <x:c r="B178" s="57"/>
      <x:c r="C178" s="57"/>
      <x:c r="D178" s="57"/>
      <x:c r="E178" s="57"/>
      <x:c r="F178" s="57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>
      <x:c r="A179" s="57"/>
      <x:c r="B179" s="57"/>
      <x:c r="C179" s="57"/>
      <x:c r="D179" s="57"/>
      <x:c r="E179" s="57"/>
      <x:c r="F179" s="57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>
      <x:c r="A180" s="57"/>
      <x:c r="B180" s="57"/>
      <x:c r="C180" s="57"/>
      <x:c r="D180" s="57"/>
      <x:c r="E180" s="57"/>
      <x:c r="F180" s="57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>
      <x:c r="A181" s="57"/>
      <x:c r="B181" s="57"/>
      <x:c r="C181" s="57"/>
      <x:c r="D181" s="57"/>
      <x:c r="E181" s="57"/>
      <x:c r="F181" s="57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>
      <x:c r="A182" s="57"/>
      <x:c r="B182" s="57"/>
      <x:c r="C182" s="57"/>
      <x:c r="D182" s="57"/>
      <x:c r="E182" s="57"/>
      <x:c r="F182" s="57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>
      <x:c r="A183" s="57"/>
      <x:c r="B183" s="57"/>
      <x:c r="C183" s="57"/>
      <x:c r="D183" s="57"/>
      <x:c r="E183" s="57"/>
      <x:c r="F183" s="57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>
      <x:c r="A184" s="57"/>
      <x:c r="B184" s="57"/>
      <x:c r="C184" s="57"/>
      <x:c r="D184" s="57"/>
      <x:c r="E184" s="57"/>
      <x:c r="F184" s="57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>
      <x:c r="A185" s="57"/>
      <x:c r="B185" s="57"/>
      <x:c r="C185" s="57"/>
      <x:c r="D185" s="57"/>
      <x:c r="E185" s="57"/>
      <x:c r="F185" s="57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>
      <x:c r="A186" s="57"/>
      <x:c r="B186" s="57"/>
      <x:c r="C186" s="57"/>
      <x:c r="D186" s="57"/>
      <x:c r="E186" s="57"/>
      <x:c r="F186" s="57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>
      <x:c r="A187" s="57"/>
      <x:c r="B187" s="57"/>
      <x:c r="C187" s="57"/>
      <x:c r="D187" s="57"/>
      <x:c r="E187" s="57"/>
      <x:c r="F187" s="57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>
      <x:c r="A188" s="57"/>
      <x:c r="B188" s="57"/>
      <x:c r="C188" s="57"/>
      <x:c r="D188" s="57"/>
      <x:c r="E188" s="57"/>
      <x:c r="F188" s="57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>
      <x:c r="A189" s="57"/>
      <x:c r="B189" s="57"/>
      <x:c r="C189" s="57"/>
      <x:c r="D189" s="57"/>
      <x:c r="E189" s="57"/>
      <x:c r="F189" s="57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>
      <x:c r="A190" s="57"/>
      <x:c r="B190" s="57"/>
      <x:c r="C190" s="57"/>
      <x:c r="D190" s="57"/>
      <x:c r="E190" s="57"/>
      <x:c r="F190" s="57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>
      <x:c r="A191" s="57"/>
      <x:c r="B191" s="57"/>
      <x:c r="C191" s="57"/>
      <x:c r="D191" s="57"/>
      <x:c r="E191" s="57"/>
      <x:c r="F191" s="57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>
      <x:c r="A192" s="57"/>
      <x:c r="B192" s="57"/>
      <x:c r="C192" s="57"/>
      <x:c r="D192" s="57"/>
      <x:c r="E192" s="57"/>
      <x:c r="F192" s="57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>
      <x:c r="A193" s="57"/>
      <x:c r="B193" s="57"/>
      <x:c r="C193" s="57"/>
      <x:c r="D193" s="57"/>
      <x:c r="E193" s="57"/>
      <x:c r="F193" s="57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>
      <x:c r="A194" s="57"/>
      <x:c r="B194" s="57"/>
      <x:c r="C194" s="57"/>
      <x:c r="D194" s="57"/>
      <x:c r="E194" s="57"/>
      <x:c r="F194" s="57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>
      <x:c r="A195" s="57"/>
      <x:c r="B195" s="57"/>
      <x:c r="C195" s="57"/>
      <x:c r="D195" s="57"/>
      <x:c r="E195" s="57"/>
      <x:c r="F195" s="57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>
      <x:c r="A196" s="57"/>
      <x:c r="B196" s="57"/>
      <x:c r="C196" s="57"/>
      <x:c r="D196" s="57"/>
      <x:c r="E196" s="57"/>
      <x:c r="F196" s="57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>
      <x:c r="A197" s="57"/>
      <x:c r="B197" s="57"/>
      <x:c r="C197" s="57"/>
      <x:c r="D197" s="57"/>
      <x:c r="E197" s="57"/>
      <x:c r="F197" s="57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>
      <x:c r="A198" s="57"/>
      <x:c r="B198" s="57"/>
      <x:c r="C198" s="57"/>
      <x:c r="D198" s="57"/>
      <x:c r="E198" s="57"/>
      <x:c r="F198" s="57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>
      <x:c r="A199" s="57"/>
      <x:c r="B199" s="57"/>
      <x:c r="C199" s="57"/>
      <x:c r="D199" s="57"/>
      <x:c r="E199" s="57"/>
      <x:c r="F199" s="57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>
      <x:c r="A200" s="57"/>
      <x:c r="B200" s="57"/>
      <x:c r="C200" s="57"/>
      <x:c r="D200" s="57"/>
      <x:c r="E200" s="57"/>
      <x:c r="F200" s="57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</x:sheetData>
  <x:mergeCells>
    <x:mergeCell ref="A1:O2"/>
    <x:mergeCell ref="A3:O3"/>
    <x:mergeCell ref="A4:C4"/>
    <x:mergeCell ref="D4:F4"/>
    <x:mergeCell ref="G4:I4"/>
    <x:mergeCell ref="J4:L4"/>
    <x:mergeCell ref="A5:C5"/>
    <x:mergeCell ref="D5:F5"/>
    <x:mergeCell ref="G5:I5"/>
    <x:mergeCell ref="J5:L5"/>
    <x:mergeCell ref="A6:O6"/>
  </x:mergeCells>
  <x:conditionalFormatting sqref="A10:O46">
    <x:cfRule type="expression" dxfId="0" priority="1">
      <x:formula>$O10&gt;0</x:formula>
    </x:cfRule>
  </x:conditionalFormatting>
  <x:conditionalFormatting sqref="N10:N46">
    <x:cfRule type="cellIs" dxfId="1" priority="2" operator="lessThan">
      <x:formula>0</x:formula>
    </x:cfRule>
    <x:cfRule type="cellIs" dxfId="2" priority="3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>
      <x:c r="A1" s="53" t="str">
        <x:v>Чувствительность срока окупаемости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>
      <x:c r="A2" s="53"/>
      <x:c r="B2" s="53"/>
      <x:c r="C2" s="53"/>
      <x:c r="D2" s="53"/>
      <x:c r="E2" s="53"/>
      <x:c r="F2" s="53"/>
      <x:c r="G2" s="53"/>
      <x:c r="H2" s="53"/>
      <x:c r="I2" s="53"/>
      <x:c r="J2" s="53"/>
      <x:c r="K2" s="57"/>
      <x:c r="L2" s="57"/>
      <x:c r="M2" s="57"/>
      <x:c r="N2" s="57"/>
      <x:c r="O2" s="57"/>
      <x:c r="P2" s="57"/>
      <x:c r="Q2" s="57"/>
      <x:c r="R2" s="57"/>
      <x:c r="S2" s="57"/>
      <x:c r="T2" s="57"/>
      <x:c r="U2" s="57"/>
      <x:c r="V2" s="57"/>
      <x:c r="W2" s="57"/>
      <x:c r="X2" s="57"/>
      <x:c r="Y2" s="57"/>
      <x:c r="Z2" s="57"/>
    </x:row>
    <x:row r="3">
      <x:c r="A3" s="54" t="str">
        <x:v>Как меняется окупаемость при другой доле сокращения ручного труда и частоте критических инцидентов.</x:v>
      </x:c>
      <x:c r="B3" s="54"/>
      <x:c r="C3" s="54"/>
      <x:c r="D3" s="54"/>
      <x:c r="E3" s="54"/>
      <x:c r="F3" s="54"/>
      <x:c r="G3" s="54"/>
      <x:c r="H3" s="54"/>
      <x:c r="I3" s="54"/>
      <x:c r="J3" s="54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</x:row>
    <x:row r="4">
      <x:c r="A4" s="57"/>
      <x:c r="B4" s="57"/>
      <x:c r="C4" s="57"/>
      <x:c r="D4" s="57"/>
      <x:c r="E4" s="57"/>
      <x:c r="F4" s="57"/>
      <x:c r="G4" s="57"/>
      <x:c r="H4" s="57"/>
      <x:c r="I4" s="57"/>
      <x:c r="J4" s="57"/>
      <x:c r="K4" s="57"/>
      <x:c r="L4" s="57"/>
      <x:c r="M4" s="57"/>
      <x:c r="N4" s="57"/>
      <x:c r="O4" s="57"/>
      <x:c r="P4" s="57"/>
      <x:c r="Q4" s="57"/>
      <x:c r="R4" s="57"/>
      <x:c r="S4" s="57"/>
      <x:c r="T4" s="57"/>
      <x:c r="U4" s="57"/>
      <x:c r="V4" s="57"/>
      <x:c r="W4" s="57"/>
      <x:c r="X4" s="57"/>
      <x:c r="Y4" s="57"/>
      <x:c r="Z4" s="57"/>
    </x:row>
    <x:row r="5">
      <x:c r="A5" s="309" t="str">
        <x:v>Активный сценарий</x:v>
      </x:c>
      <x:c r="B5" s="310" t="str">
        <x:f>'Допущения'!$C$4</x:f>
        <x:v>Студенты</x:v>
      </x:c>
      <x:c r="C5" s="311"/>
      <x:c r="D5" s="309" t="str">
        <x:v>Инвестиции</x:v>
      </x:c>
      <x:c r="E5" s="312" t="n">
        <x:f>'Сравнение'!$B$39</x:f>
        <x:v>20955000</x:v>
      </x:c>
      <x:c r="F5" s="313"/>
      <x:c r="G5" s="314" t="str">
        <x:v>OPEX / год</x:v>
      </x:c>
      <x:c r="H5" s="312" t="n">
        <x:f>'Сравнение'!$B$43</x:f>
        <x:v>1510000</x:v>
      </x:c>
      <x:c r="I5" s="57"/>
      <x:c r="J5" s="57"/>
      <x:c r="K5" s="57"/>
      <x:c r="L5" s="57"/>
      <x:c r="M5" s="57"/>
      <x:c r="N5" s="57"/>
      <x:c r="O5" s="57"/>
      <x:c r="P5" s="57"/>
      <x:c r="Q5" s="57"/>
      <x:c r="R5" s="57"/>
      <x:c r="S5" s="57"/>
      <x:c r="T5" s="57"/>
      <x:c r="U5" s="57"/>
      <x:c r="V5" s="57"/>
      <x:c r="W5" s="57"/>
      <x:c r="X5" s="57"/>
      <x:c r="Y5" s="57"/>
      <x:c r="Z5" s="57"/>
    </x:row>
    <x:row r="6">
      <x:c r="A6" s="57"/>
      <x:c r="B6" s="57"/>
      <x:c r="C6" s="57"/>
      <x:c r="D6" s="57"/>
      <x:c r="E6" s="57"/>
      <x:c r="F6" s="57"/>
      <x:c r="G6" s="57"/>
      <x:c r="H6" s="57"/>
      <x:c r="I6" s="57"/>
      <x:c r="J6" s="57"/>
      <x:c r="K6" s="57"/>
      <x:c r="L6" s="57"/>
      <x:c r="M6" s="57"/>
      <x:c r="N6" s="57"/>
      <x:c r="O6" s="57"/>
      <x:c r="P6" s="57"/>
      <x:c r="Q6" s="57"/>
      <x:c r="R6" s="57"/>
      <x:c r="S6" s="57"/>
      <x:c r="T6" s="57"/>
      <x:c r="U6" s="57"/>
      <x:c r="V6" s="57"/>
      <x:c r="W6" s="57"/>
      <x:c r="X6" s="57"/>
      <x:c r="Y6" s="57"/>
      <x:c r="Z6" s="57"/>
    </x:row>
    <x:row r="7">
      <x:c r="A7" s="59" t="str">
        <x:v>Окупаемость от начала проекта, месяцев</x:v>
      </x:c>
      <x:c r="B7" s="59"/>
      <x:c r="C7" s="59"/>
      <x:c r="D7" s="59"/>
      <x:c r="E7" s="59"/>
      <x:c r="F7" s="59"/>
      <x:c r="G7" s="59"/>
      <x:c r="H7" s="59"/>
      <x:c r="I7" s="59"/>
      <x:c r="J7" s="59"/>
      <x:c r="K7" s="57"/>
      <x:c r="L7" s="57"/>
      <x:c r="M7" s="57"/>
      <x:c r="N7" s="57"/>
      <x:c r="O7" s="57"/>
      <x:c r="P7" s="57"/>
      <x:c r="Q7" s="57"/>
      <x:c r="R7" s="57"/>
      <x:c r="S7" s="57"/>
      <x:c r="T7" s="57"/>
      <x:c r="U7" s="57"/>
      <x:c r="V7" s="57"/>
      <x:c r="W7" s="57"/>
      <x:c r="X7" s="57"/>
      <x:c r="Y7" s="57"/>
      <x:c r="Z7" s="57"/>
    </x:row>
    <x:row r="8">
      <x:c r="A8" s="60" t="str">
        <x:v>Сокращение ручного труда</x:v>
      </x:c>
      <x:c r="B8" s="315" t="n">
        <x:v>0</x:v>
      </x:c>
      <x:c r="C8" s="315" t="n">
        <x:v>1</x:v>
      </x:c>
      <x:c r="D8" s="315" t="n">
        <x:v>2</x:v>
      </x:c>
      <x:c r="E8" s="315" t="n">
        <x:v>3</x:v>
      </x:c>
      <x:c r="F8" s="315" t="n">
        <x:v>4</x:v>
      </x:c>
      <x:c r="G8" s="315" t="n">
        <x:v>5</x:v>
      </x:c>
      <x:c r="H8" s="315" t="n">
        <x:v>6</x:v>
      </x:c>
      <x:c r="I8" s="315" t="n">
        <x:v>7</x:v>
      </x:c>
      <x:c r="J8" s="315" t="n">
        <x:v>8</x:v>
      </x:c>
      <x:c r="K8" s="57"/>
      <x:c r="L8" s="57"/>
      <x:c r="M8" s="57"/>
      <x:c r="N8" s="57"/>
      <x:c r="O8" s="57"/>
      <x:c r="P8" s="57"/>
      <x:c r="Q8" s="57"/>
      <x:c r="R8" s="57"/>
      <x:c r="S8" s="57"/>
      <x:c r="T8" s="57"/>
      <x:c r="U8" s="57"/>
      <x:c r="V8" s="57"/>
      <x:c r="W8" s="57"/>
      <x:c r="X8" s="57"/>
      <x:c r="Y8" s="57"/>
      <x:c r="Z8" s="57"/>
    </x:row>
    <x:row r="9">
      <x:c r="A9" s="316" t="n">
        <x:v>0.3</x:v>
      </x:c>
      <x:c r="B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/12))</x:f>
        <x:v>32.609523809523814</x:v>
      </x:c>
      <x:c r="C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/12))</x:f>
        <x:v>27.426902008521</x:v>
      </x:c>
      <x:c r="D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/12))</x:f>
        <x:v>23.93397860417728</x:v>
      </x:c>
      <x:c r="E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/12))</x:f>
        <x:v>21.420236530880416</x:v>
      </x:c>
      <x:c r="F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19.5245485977718</x:v>
      </x:c>
      <x:c r="G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18.043927471775575</x:v>
      </x:c>
      <x:c r="H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16.85550416281221</x:v>
      </x:c>
      <x:c r="I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15.880550098231826</x:v>
      </x:c>
      <x:c r="J9" s="317" t="n">
        <x:f>IF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9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15.06628895184136</x:v>
      </x:c>
      <x:c r="K9" s="57"/>
      <x:c r="L9" s="57"/>
      <x:c r="M9" s="57"/>
      <x:c r="N9" s="57"/>
      <x:c r="O9" s="57"/>
      <x:c r="P9" s="57"/>
      <x:c r="Q9" s="57"/>
      <x:c r="R9" s="57"/>
      <x:c r="S9" s="57"/>
      <x:c r="T9" s="57"/>
      <x:c r="U9" s="57"/>
      <x:c r="V9" s="57"/>
      <x:c r="W9" s="57"/>
      <x:c r="X9" s="57"/>
      <x:c r="Y9" s="57"/>
      <x:c r="Z9" s="57"/>
    </x:row>
    <x:row r="10">
      <x:c r="A10" s="316" t="n">
        <x:v>0.4</x:v>
      </x:c>
      <x:c r="B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/12))</x:f>
        <x:v>25.411764705882348</x:v>
      </x:c>
      <x:c r="C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/12))</x:f>
        <x:v>22.500309342132397</x:v>
      </x:c>
      <x:c r="D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/12))</x:f>
        <x:v>20.348293907628097</x:v>
      </x:c>
      <x:c r="E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18.692856833816464</x:v>
      </x:c>
      <x:c r="F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17.379898886719506</x:v>
      </x:c>
      <x:c r="G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16.313104207923693</x:v>
      </x:c>
      <x:c r="H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15.42917751422235</x:v>
      </x:c>
      <x:c r="I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14.684810388892727</x:v>
      </x:c>
      <x:c r="J10" s="317" t="n">
        <x:f>IF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10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14.049369392440024</x:v>
      </x:c>
      <x:c r="K10" s="57"/>
      <x:c r="L10" s="57"/>
      <x:c r="M10" s="57"/>
      <x:c r="N10" s="57"/>
      <x:c r="O10" s="57"/>
      <x:c r="P10" s="57"/>
      <x:c r="Q10" s="57"/>
      <x:c r="R10" s="57"/>
      <x:c r="S10" s="57"/>
      <x:c r="T10" s="57"/>
      <x:c r="U10" s="57"/>
      <x:c r="V10" s="57"/>
      <x:c r="W10" s="57"/>
      <x:c r="X10" s="57"/>
      <x:c r="Y10" s="57"/>
      <x:c r="Z10" s="57"/>
    </x:row>
    <x:row r="11">
      <x:c r="A11" s="316" t="n">
        <x:v>0.5</x:v>
      </x:c>
      <x:c r="B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/12))</x:f>
        <x:v>21.278891724389354</x:v>
      </x:c>
      <x:c r="C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19.415697452860385</x:v>
      </x:c>
      <x:c r="D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17.957528905071804</x:v>
      </x:c>
      <x:c r="E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16.78526524760119</x:v>
      </x:c>
      <x:c r="F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15.822327377431561</x:v>
      </x:c>
      <x:c r="G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15.01724332243886</x:v>
      </x:c>
      <x:c r="H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14.33413823470924</x:v>
      </x:c>
      <x:c r="I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13.747242590424548</x:v>
      </x:c>
      <x:c r="J11" s="317" t="n">
        <x:f>IF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11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13.23756815210151</x:v>
      </x:c>
      <x:c r="K11" s="57"/>
      <x:c r="L11" s="57"/>
      <x:c r="M11" s="57"/>
      <x:c r="N11" s="57"/>
      <x:c r="O11" s="57"/>
      <x:c r="P11" s="57"/>
      <x:c r="Q11" s="57"/>
      <x:c r="R11" s="57"/>
      <x:c r="S11" s="57"/>
      <x:c r="T11" s="57"/>
      <x:c r="U11" s="57"/>
      <x:c r="V11" s="57"/>
      <x:c r="W11" s="57"/>
      <x:c r="X11" s="57"/>
      <x:c r="Y11" s="57"/>
      <x:c r="Z11" s="57"/>
    </x:row>
    <x:row r="12">
      <x:c r="A12" s="316" t="n">
        <x:v>0.6</x:v>
      </x:c>
      <x:c r="B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18.59693417493237</x:v>
      </x:c>
      <x:c r="C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17.302734149254498</x:v>
      </x:c>
      <x:c r="D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16.249688471706243</x:v>
      </x:c>
      <x:c r="E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15.376138579053341</x:v>
      </x:c>
      <x:c r="F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14.639795026848734</x:v>
      </x:c>
      <x:c r="G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14.010685647191606</x:v>
      </x:c>
      <x:c r="H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13.46697548932271</x:v>
      </x:c>
      <x:c r="I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12.992380846449029</x:v>
      </x:c>
      <x:c r="J12" s="317" t="n">
        <x:f>IF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12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12.574510521637148</x:v>
      </x:c>
      <x:c r="K12" s="57"/>
      <x:c r="L12" s="57"/>
      <x:c r="M12" s="57"/>
      <x:c r="N12" s="57"/>
      <x:c r="O12" s="57"/>
      <x:c r="P12" s="57"/>
      <x:c r="Q12" s="57"/>
      <x:c r="R12" s="57"/>
      <x:c r="S12" s="57"/>
      <x:c r="T12" s="57"/>
      <x:c r="U12" s="57"/>
      <x:c r="V12" s="57"/>
      <x:c r="W12" s="57"/>
      <x:c r="X12" s="57"/>
      <x:c r="Y12" s="57"/>
      <x:c r="Z12" s="57"/>
    </x:row>
    <x:row r="13">
      <x:c r="A13" s="316" t="n">
        <x:v>0.7</x:v>
      </x:c>
      <x:c r="B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B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16.71592942981335</x:v>
      </x:c>
      <x:c r="C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C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15.76478681030944</x:v>
      </x:c>
      <x:c r="D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D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14.968725479206368</x:v>
      </x:c>
      <x:c r="E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E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14.292676032450462</x:v>
      </x:c>
      <x:c r="F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F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13.71140181020056</x:v>
      </x:c>
      <x:c r="G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G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13.206278504229067</x:v>
      </x:c>
      <x:c r="H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H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12.76326163635106</x:v>
      </x:c>
      <x:c r="I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I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12.371560330410986</x:v>
      </x:c>
      <x:c r="J13" s="317" t="n">
        <x:f>IF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&lt;=0,0,'Допущения'!$C$12+'Сравнение'!$B$39/(((IF($B$5="Студенты",'Допущения'!$C$30,'Допущения'!$C$45)*$A13*'Допущения'!$C$8*'Допущения'!$C$9)+(IF($B$5="Студенты",('Допущения'!$C$32-'Допущения'!$C$33)*('Допущения'!$C$34/'Допущения'!$C$35),('Допущения'!$C$47-'Допущения'!$C$48)*('Допущения'!$C$49/1440))*J$8)+(IF($B$5="Студенты",('Допущения'!$C$38-'Допущения'!$C$39)*'Допущения'!$C$37,('Допущения'!$C$52-'Допущения'!$C$53)*'Допущения'!$C$51)*'Допущения'!$C$10)-'Сравнение'!$B$43)/12))</x:f>
        <x:v>12.022746713565226</x:v>
      </x:c>
      <x:c r="K13" s="57"/>
      <x:c r="L13" s="57"/>
      <x:c r="M13" s="57"/>
      <x:c r="N13" s="57"/>
      <x:c r="O13" s="57"/>
      <x:c r="P13" s="57"/>
      <x:c r="Q13" s="57"/>
      <x:c r="R13" s="57"/>
      <x:c r="S13" s="57"/>
      <x:c r="T13" s="57"/>
      <x:c r="U13" s="57"/>
      <x:c r="V13" s="57"/>
      <x:c r="W13" s="57"/>
      <x:c r="X13" s="57"/>
      <x:c r="Y13" s="57"/>
      <x:c r="Z13" s="57"/>
    </x:row>
    <x:row r="14">
      <x:c r="A14" s="57"/>
      <x:c r="B14" s="57"/>
      <x:c r="C14" s="57"/>
      <x:c r="D14" s="57"/>
      <x:c r="E14" s="57"/>
      <x:c r="F14" s="57"/>
      <x:c r="G14" s="57"/>
      <x:c r="H14" s="57"/>
      <x:c r="I14" s="57"/>
      <x:c r="J14" s="57"/>
      <x:c r="K14" s="57"/>
      <x:c r="L14" s="57"/>
      <x:c r="M14" s="57"/>
      <x:c r="N14" s="57"/>
      <x:c r="O14" s="57"/>
      <x:c r="P14" s="57"/>
      <x:c r="Q14" s="57"/>
      <x:c r="R14" s="57"/>
      <x:c r="S14" s="57"/>
      <x:c r="T14" s="57"/>
      <x:c r="U14" s="57"/>
      <x:c r="V14" s="57"/>
      <x:c r="W14" s="57"/>
      <x:c r="X14" s="57"/>
      <x:c r="Y14" s="57"/>
      <x:c r="Z14" s="57"/>
    </x:row>
    <x:row r="15">
      <x:c r="A15" s="57"/>
      <x:c r="B15" s="57"/>
      <x:c r="C15" s="57"/>
      <x:c r="D15" s="57"/>
      <x:c r="E15" s="57"/>
      <x:c r="F15" s="57"/>
      <x:c r="G15" s="57"/>
      <x:c r="H15" s="57"/>
      <x:c r="I15" s="57"/>
      <x:c r="J15" s="57"/>
      <x:c r="K15" s="57"/>
      <x:c r="L15" s="57"/>
      <x:c r="M15" s="57"/>
      <x:c r="N15" s="57"/>
      <x:c r="O15" s="57"/>
      <x:c r="P15" s="57"/>
      <x:c r="Q15" s="57"/>
      <x:c r="R15" s="57"/>
      <x:c r="S15" s="57"/>
      <x:c r="T15" s="57"/>
      <x:c r="U15" s="57"/>
      <x:c r="V15" s="57"/>
      <x:c r="W15" s="57"/>
      <x:c r="X15" s="57"/>
      <x:c r="Y15" s="57"/>
      <x:c r="Z15" s="57"/>
    </x:row>
    <x:row r="16">
      <x:c r="A16" s="59" t="str">
        <x:v>Интерпретация</x:v>
      </x:c>
      <x:c r="B16" s="59"/>
      <x:c r="C16" s="59"/>
      <x:c r="D16" s="59"/>
      <x:c r="E16" s="59"/>
      <x:c r="F16" s="59"/>
      <x:c r="G16" s="59"/>
      <x:c r="H16" s="59"/>
      <x:c r="I16" s="59"/>
      <x:c r="J16" s="59"/>
      <x:c r="K16" s="57"/>
      <x:c r="L16" s="57"/>
      <x:c r="M16" s="57"/>
      <x:c r="N16" s="57"/>
      <x:c r="O16" s="57"/>
      <x:c r="P16" s="57"/>
      <x:c r="Q16" s="57"/>
      <x:c r="R16" s="57"/>
      <x:c r="S16" s="57"/>
      <x:c r="T16" s="57"/>
      <x:c r="U16" s="57"/>
      <x:c r="V16" s="57"/>
      <x:c r="W16" s="57"/>
      <x:c r="X16" s="57"/>
      <x:c r="Y16" s="57"/>
      <x:c r="Z16" s="57"/>
    </x:row>
    <x:row r="17">
      <x:c r="A17" s="318" t="str">
        <x:v>Матрица показывает ориентировочный срок окупаемости от старта проекта. Красные значения — длинный срок, зеленые — короткий. Точный срок по выбранному базовому сценарию рассчитывается помесячно на листе «Денежный поток». Если фактические критические инциденты редки, основным драйвером остается сокращение ежедневных трудозатрат.</x:v>
      </x:c>
      <x:c r="B17" s="318"/>
      <x:c r="C17" s="318"/>
      <x:c r="D17" s="318"/>
      <x:c r="E17" s="318"/>
      <x:c r="F17" s="318"/>
      <x:c r="G17" s="318"/>
      <x:c r="H17" s="318"/>
      <x:c r="I17" s="318"/>
      <x:c r="J17" s="318"/>
      <x:c r="K17" s="57"/>
      <x:c r="L17" s="57"/>
      <x:c r="M17" s="57"/>
      <x:c r="N17" s="57"/>
      <x:c r="O17" s="57"/>
      <x:c r="P17" s="57"/>
      <x:c r="Q17" s="57"/>
      <x:c r="R17" s="57"/>
      <x:c r="S17" s="57"/>
      <x:c r="T17" s="57"/>
      <x:c r="U17" s="57"/>
      <x:c r="V17" s="57"/>
      <x:c r="W17" s="57"/>
      <x:c r="X17" s="57"/>
      <x:c r="Y17" s="57"/>
      <x:c r="Z17" s="57"/>
    </x:row>
    <x:row r="18">
      <x:c r="A18" s="318"/>
      <x:c r="B18" s="318"/>
      <x:c r="C18" s="318"/>
      <x:c r="D18" s="318"/>
      <x:c r="E18" s="318"/>
      <x:c r="F18" s="318"/>
      <x:c r="G18" s="318"/>
      <x:c r="H18" s="318"/>
      <x:c r="I18" s="318"/>
      <x:c r="J18" s="318"/>
      <x:c r="K18" s="57"/>
      <x:c r="L18" s="57"/>
      <x:c r="M18" s="57"/>
      <x:c r="N18" s="57"/>
      <x:c r="O18" s="57"/>
      <x:c r="P18" s="57"/>
      <x:c r="Q18" s="57"/>
      <x:c r="R18" s="57"/>
      <x:c r="S18" s="57"/>
      <x:c r="T18" s="57"/>
      <x:c r="U18" s="57"/>
      <x:c r="V18" s="57"/>
      <x:c r="W18" s="57"/>
      <x:c r="X18" s="57"/>
      <x:c r="Y18" s="57"/>
      <x:c r="Z18" s="57"/>
    </x:row>
    <x:row r="19">
      <x:c r="A19" s="318"/>
      <x:c r="B19" s="318"/>
      <x:c r="C19" s="318"/>
      <x:c r="D19" s="318"/>
      <x:c r="E19" s="318"/>
      <x:c r="F19" s="318"/>
      <x:c r="G19" s="318"/>
      <x:c r="H19" s="318"/>
      <x:c r="I19" s="318"/>
      <x:c r="J19" s="318"/>
      <x:c r="K19" s="57"/>
      <x:c r="L19" s="57"/>
      <x:c r="M19" s="57"/>
      <x:c r="N19" s="57"/>
      <x:c r="O19" s="57"/>
      <x:c r="P19" s="57"/>
      <x:c r="Q19" s="57"/>
      <x:c r="R19" s="57"/>
      <x:c r="S19" s="57"/>
      <x:c r="T19" s="57"/>
      <x:c r="U19" s="57"/>
      <x:c r="V19" s="57"/>
      <x:c r="W19" s="57"/>
      <x:c r="X19" s="57"/>
      <x:c r="Y19" s="57"/>
      <x:c r="Z19" s="57"/>
    </x:row>
    <x:row r="20">
      <x:c r="A20" s="318"/>
      <x:c r="B20" s="318"/>
      <x:c r="C20" s="318"/>
      <x:c r="D20" s="318"/>
      <x:c r="E20" s="318"/>
      <x:c r="F20" s="318"/>
      <x:c r="G20" s="318"/>
      <x:c r="H20" s="318"/>
      <x:c r="I20" s="318"/>
      <x:c r="J20" s="318"/>
      <x:c r="K20" s="57"/>
      <x:c r="L20" s="57"/>
      <x:c r="M20" s="57"/>
      <x:c r="N20" s="57"/>
      <x:c r="O20" s="57"/>
      <x:c r="P20" s="57"/>
      <x:c r="Q20" s="57"/>
      <x:c r="R20" s="57"/>
      <x:c r="S20" s="57"/>
      <x:c r="T20" s="57"/>
      <x:c r="U20" s="57"/>
      <x:c r="V20" s="57"/>
      <x:c r="W20" s="57"/>
      <x:c r="X20" s="57"/>
      <x:c r="Y20" s="57"/>
      <x:c r="Z20" s="57"/>
    </x:row>
    <x:row r="21">
      <x:c r="A21" s="57"/>
      <x:c r="B21" s="57"/>
      <x:c r="C21" s="57"/>
      <x:c r="D21" s="57"/>
      <x:c r="E21" s="57"/>
      <x:c r="F21" s="57"/>
      <x:c r="G21" s="57"/>
      <x:c r="H21" s="57"/>
      <x:c r="I21" s="57"/>
      <x:c r="J21" s="57"/>
      <x:c r="K21" s="57"/>
      <x:c r="L21" s="57"/>
      <x:c r="M21" s="57"/>
      <x:c r="N21" s="57"/>
      <x:c r="O21" s="57"/>
      <x:c r="P21" s="57"/>
      <x:c r="Q21" s="57"/>
      <x:c r="R21" s="57"/>
      <x:c r="S21" s="57"/>
      <x:c r="T21" s="57"/>
      <x:c r="U21" s="57"/>
      <x:c r="V21" s="57"/>
      <x:c r="W21" s="57"/>
      <x:c r="X21" s="57"/>
      <x:c r="Y21" s="57"/>
      <x:c r="Z21" s="57"/>
    </x:row>
    <x:row r="22">
      <x:c r="A22" s="57"/>
      <x:c r="B22" s="57"/>
      <x:c r="C22" s="57"/>
      <x:c r="D22" s="57"/>
      <x:c r="E22" s="57"/>
      <x:c r="F22" s="57"/>
      <x:c r="G22" s="57"/>
      <x:c r="H22" s="57"/>
      <x:c r="I22" s="57"/>
      <x:c r="J22" s="57"/>
      <x:c r="K22" s="57"/>
      <x:c r="L22" s="57"/>
      <x:c r="M22" s="57"/>
      <x:c r="N22" s="57"/>
      <x:c r="O22" s="57"/>
      <x:c r="P22" s="57"/>
      <x:c r="Q22" s="57"/>
      <x:c r="R22" s="57"/>
      <x:c r="S22" s="57"/>
      <x:c r="T22" s="57"/>
      <x:c r="U22" s="57"/>
      <x:c r="V22" s="57"/>
      <x:c r="W22" s="57"/>
      <x:c r="X22" s="57"/>
      <x:c r="Y22" s="57"/>
      <x:c r="Z22" s="57"/>
    </x:row>
    <x:row r="23">
      <x:c r="A23" s="57"/>
      <x:c r="B23" s="57"/>
      <x:c r="C23" s="57"/>
      <x:c r="D23" s="57"/>
      <x:c r="E23" s="57"/>
      <x:c r="F23" s="57"/>
      <x:c r="G23" s="57"/>
      <x:c r="H23" s="57"/>
      <x:c r="I23" s="57"/>
      <x:c r="J23" s="57"/>
      <x:c r="K23" s="57"/>
      <x:c r="L23" s="57"/>
      <x:c r="M23" s="57"/>
      <x:c r="N23" s="57"/>
      <x:c r="O23" s="57"/>
      <x:c r="P23" s="57"/>
      <x:c r="Q23" s="57"/>
      <x:c r="R23" s="57"/>
      <x:c r="S23" s="57"/>
      <x:c r="T23" s="57"/>
      <x:c r="U23" s="57"/>
      <x:c r="V23" s="57"/>
      <x:c r="W23" s="57"/>
      <x:c r="X23" s="57"/>
      <x:c r="Y23" s="57"/>
      <x:c r="Z23" s="57"/>
    </x:row>
    <x:row r="24">
      <x:c r="A24" s="57"/>
      <x:c r="B24" s="57"/>
      <x:c r="C24" s="57"/>
      <x:c r="D24" s="57"/>
      <x:c r="E24" s="57"/>
      <x:c r="F24" s="57"/>
      <x:c r="G24" s="57"/>
      <x:c r="H24" s="57"/>
      <x:c r="I24" s="57"/>
      <x:c r="J24" s="57"/>
      <x:c r="K24" s="57"/>
      <x:c r="L24" s="57"/>
      <x:c r="M24" s="57"/>
      <x:c r="N24" s="57"/>
      <x:c r="O24" s="57"/>
      <x:c r="P24" s="57"/>
      <x:c r="Q24" s="57"/>
      <x:c r="R24" s="57"/>
      <x:c r="S24" s="57"/>
      <x:c r="T24" s="57"/>
      <x:c r="U24" s="57"/>
      <x:c r="V24" s="57"/>
      <x:c r="W24" s="57"/>
      <x:c r="X24" s="57"/>
      <x:c r="Y24" s="57"/>
      <x:c r="Z24" s="57"/>
    </x:row>
    <x:row r="25">
      <x:c r="A25" s="57"/>
      <x:c r="B25" s="57"/>
      <x:c r="C25" s="57"/>
      <x:c r="D25" s="57"/>
      <x:c r="E25" s="57"/>
      <x:c r="F25" s="57"/>
      <x:c r="G25" s="57"/>
      <x:c r="H25" s="57"/>
      <x:c r="I25" s="57"/>
      <x:c r="J25" s="57"/>
      <x:c r="K25" s="57"/>
      <x:c r="L25" s="57"/>
      <x:c r="M25" s="57"/>
      <x:c r="N25" s="57"/>
      <x:c r="O25" s="57"/>
      <x:c r="P25" s="57"/>
      <x:c r="Q25" s="57"/>
      <x:c r="R25" s="57"/>
      <x:c r="S25" s="57"/>
      <x:c r="T25" s="57"/>
      <x:c r="U25" s="57"/>
      <x:c r="V25" s="57"/>
      <x:c r="W25" s="57"/>
      <x:c r="X25" s="57"/>
      <x:c r="Y25" s="57"/>
      <x:c r="Z25" s="57"/>
    </x:row>
    <x:row r="26">
      <x:c r="A26" s="57"/>
      <x:c r="B26" s="57"/>
      <x:c r="C26" s="57"/>
      <x:c r="D26" s="57"/>
      <x:c r="E26" s="57"/>
      <x:c r="F26" s="57"/>
      <x:c r="G26" s="57"/>
      <x:c r="H26" s="57"/>
      <x:c r="I26" s="57"/>
      <x:c r="J26" s="57"/>
      <x:c r="K26" s="57"/>
      <x:c r="L26" s="57"/>
      <x:c r="M26" s="57"/>
      <x:c r="N26" s="57"/>
      <x:c r="O26" s="57"/>
      <x:c r="P26" s="57"/>
      <x:c r="Q26" s="57"/>
      <x:c r="R26" s="57"/>
      <x:c r="S26" s="57"/>
      <x:c r="T26" s="57"/>
      <x:c r="U26" s="57"/>
      <x:c r="V26" s="57"/>
      <x:c r="W26" s="57"/>
      <x:c r="X26" s="57"/>
      <x:c r="Y26" s="57"/>
      <x:c r="Z26" s="57"/>
    </x:row>
    <x:row r="27">
      <x:c r="A27" s="57"/>
      <x:c r="B27" s="57"/>
      <x:c r="C27" s="57"/>
      <x:c r="D27" s="57"/>
      <x:c r="E27" s="57"/>
      <x:c r="F27" s="57"/>
      <x:c r="G27" s="57"/>
      <x:c r="H27" s="57"/>
      <x:c r="I27" s="57"/>
      <x:c r="J27" s="57"/>
      <x:c r="K27" s="57"/>
      <x:c r="L27" s="57"/>
      <x:c r="M27" s="57"/>
      <x:c r="N27" s="57"/>
      <x:c r="O27" s="57"/>
      <x:c r="P27" s="57"/>
      <x:c r="Q27" s="57"/>
      <x:c r="R27" s="57"/>
      <x:c r="S27" s="57"/>
      <x:c r="T27" s="57"/>
      <x:c r="U27" s="57"/>
      <x:c r="V27" s="57"/>
      <x:c r="W27" s="57"/>
      <x:c r="X27" s="57"/>
      <x:c r="Y27" s="57"/>
      <x:c r="Z27" s="57"/>
    </x:row>
    <x:row r="28">
      <x:c r="A28" s="57"/>
      <x:c r="B28" s="57"/>
      <x:c r="C28" s="57"/>
      <x:c r="D28" s="57"/>
      <x:c r="E28" s="57"/>
      <x:c r="F28" s="57"/>
      <x:c r="G28" s="57"/>
      <x:c r="H28" s="57"/>
      <x:c r="I28" s="57"/>
      <x:c r="J28" s="57"/>
      <x:c r="K28" s="57"/>
      <x:c r="L28" s="57"/>
      <x:c r="M28" s="57"/>
      <x:c r="N28" s="57"/>
      <x:c r="O28" s="57"/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>
      <x:c r="A29" s="57"/>
      <x:c r="B29" s="57"/>
      <x:c r="C29" s="57"/>
      <x:c r="D29" s="57"/>
      <x:c r="E29" s="57"/>
      <x:c r="F29" s="57"/>
      <x:c r="G29" s="57"/>
      <x:c r="H29" s="57"/>
      <x:c r="I29" s="57"/>
      <x:c r="J29" s="57"/>
      <x:c r="K29" s="57"/>
      <x:c r="L29" s="57"/>
      <x:c r="M29" s="57"/>
      <x:c r="N29" s="57"/>
      <x:c r="O29" s="57"/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>
      <x:c r="A30" s="57"/>
      <x:c r="B30" s="57"/>
      <x:c r="C30" s="57"/>
      <x:c r="D30" s="57"/>
      <x:c r="E30" s="57"/>
      <x:c r="F30" s="57"/>
      <x:c r="G30" s="57"/>
      <x:c r="H30" s="57"/>
      <x:c r="I30" s="57"/>
      <x:c r="J30" s="57"/>
      <x:c r="K30" s="57"/>
      <x:c r="L30" s="57"/>
      <x:c r="M30" s="57"/>
      <x:c r="N30" s="57"/>
      <x:c r="O30" s="57"/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>
      <x:c r="A31" s="57"/>
      <x:c r="B31" s="57"/>
      <x:c r="C31" s="57"/>
      <x:c r="D31" s="57"/>
      <x:c r="E31" s="57"/>
      <x:c r="F31" s="57"/>
      <x:c r="G31" s="57"/>
      <x:c r="H31" s="57"/>
      <x:c r="I31" s="57"/>
      <x:c r="J31" s="57"/>
      <x:c r="K31" s="57"/>
      <x:c r="L31" s="57"/>
      <x:c r="M31" s="57"/>
      <x:c r="N31" s="57"/>
      <x:c r="O31" s="57"/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>
      <x:c r="A32" s="57"/>
      <x:c r="B32" s="57"/>
      <x:c r="C32" s="57"/>
      <x:c r="D32" s="57"/>
      <x:c r="E32" s="57"/>
      <x:c r="F32" s="57"/>
      <x:c r="G32" s="57"/>
      <x:c r="H32" s="57"/>
      <x:c r="I32" s="57"/>
      <x:c r="J32" s="57"/>
      <x:c r="K32" s="57"/>
      <x:c r="L32" s="57"/>
      <x:c r="M32" s="57"/>
      <x:c r="N32" s="57"/>
      <x:c r="O32" s="57"/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>
      <x:c r="A33" s="57"/>
      <x:c r="B33" s="57"/>
      <x:c r="C33" s="57"/>
      <x:c r="D33" s="57"/>
      <x:c r="E33" s="57"/>
      <x:c r="F33" s="57"/>
      <x:c r="G33" s="57"/>
      <x:c r="H33" s="57"/>
      <x:c r="I33" s="57"/>
      <x:c r="J33" s="57"/>
      <x:c r="K33" s="57"/>
      <x:c r="L33" s="57"/>
      <x:c r="M33" s="57"/>
      <x:c r="N33" s="57"/>
      <x:c r="O33" s="57"/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>
      <x:c r="A34" s="57"/>
      <x:c r="B34" s="57"/>
      <x:c r="C34" s="57"/>
      <x:c r="D34" s="57"/>
      <x:c r="E34" s="57"/>
      <x:c r="F34" s="57"/>
      <x:c r="G34" s="57"/>
      <x:c r="H34" s="57"/>
      <x:c r="I34" s="57"/>
      <x:c r="J34" s="57"/>
      <x:c r="K34" s="57"/>
      <x:c r="L34" s="57"/>
      <x:c r="M34" s="57"/>
      <x:c r="N34" s="57"/>
      <x:c r="O34" s="57"/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>
      <x:c r="A35" s="57"/>
      <x:c r="B35" s="57"/>
      <x:c r="C35" s="57"/>
      <x:c r="D35" s="57"/>
      <x:c r="E35" s="57"/>
      <x:c r="F35" s="57"/>
      <x:c r="G35" s="57"/>
      <x:c r="H35" s="57"/>
      <x:c r="I35" s="57"/>
      <x:c r="J35" s="57"/>
      <x:c r="K35" s="57"/>
      <x:c r="L35" s="57"/>
      <x:c r="M35" s="57"/>
      <x:c r="N35" s="57"/>
      <x:c r="O35" s="57"/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>
      <x:c r="A36" s="57"/>
      <x:c r="B36" s="57"/>
      <x:c r="C36" s="57"/>
      <x:c r="D36" s="57"/>
      <x:c r="E36" s="57"/>
      <x:c r="F36" s="57"/>
      <x:c r="G36" s="57"/>
      <x:c r="H36" s="57"/>
      <x:c r="I36" s="57"/>
      <x:c r="J36" s="57"/>
      <x:c r="K36" s="57"/>
      <x:c r="L36" s="57"/>
      <x:c r="M36" s="57"/>
      <x:c r="N36" s="57"/>
      <x:c r="O36" s="57"/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>
      <x:c r="A37" s="57"/>
      <x:c r="B37" s="57"/>
      <x:c r="C37" s="57"/>
      <x:c r="D37" s="57"/>
      <x:c r="E37" s="57"/>
      <x:c r="F37" s="57"/>
      <x:c r="G37" s="57"/>
      <x:c r="H37" s="57"/>
      <x:c r="I37" s="57"/>
      <x:c r="J37" s="57"/>
      <x:c r="K37" s="57"/>
      <x:c r="L37" s="57"/>
      <x:c r="M37" s="57"/>
      <x:c r="N37" s="57"/>
      <x:c r="O37" s="57"/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>
      <x:c r="A38" s="57"/>
      <x:c r="B38" s="57"/>
      <x:c r="C38" s="57"/>
      <x:c r="D38" s="57"/>
      <x:c r="E38" s="57"/>
      <x:c r="F38" s="57"/>
      <x:c r="G38" s="57"/>
      <x:c r="H38" s="57"/>
      <x:c r="I38" s="57"/>
      <x:c r="J38" s="57"/>
      <x:c r="K38" s="57"/>
      <x:c r="L38" s="57"/>
      <x:c r="M38" s="57"/>
      <x:c r="N38" s="57"/>
      <x:c r="O38" s="57"/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>
      <x:c r="A39" s="57"/>
      <x:c r="B39" s="57"/>
      <x:c r="C39" s="57"/>
      <x:c r="D39" s="57"/>
      <x:c r="E39" s="57"/>
      <x:c r="F39" s="57"/>
      <x:c r="G39" s="57"/>
      <x:c r="H39" s="57"/>
      <x:c r="I39" s="57"/>
      <x:c r="J39" s="57"/>
      <x:c r="K39" s="57"/>
      <x:c r="L39" s="57"/>
      <x:c r="M39" s="57"/>
      <x:c r="N39" s="57"/>
      <x:c r="O39" s="57"/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>
      <x:c r="A40" s="57"/>
      <x:c r="B40" s="57"/>
      <x:c r="C40" s="57"/>
      <x:c r="D40" s="57"/>
      <x:c r="E40" s="57"/>
      <x:c r="F40" s="57"/>
      <x:c r="G40" s="57"/>
      <x:c r="H40" s="57"/>
      <x:c r="I40" s="57"/>
      <x:c r="J40" s="57"/>
      <x:c r="K40" s="57"/>
      <x:c r="L40" s="57"/>
      <x:c r="M40" s="57"/>
      <x:c r="N40" s="57"/>
      <x:c r="O40" s="57"/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>
      <x:c r="A41" s="57"/>
      <x:c r="B41" s="57"/>
      <x:c r="C41" s="57"/>
      <x:c r="D41" s="57"/>
      <x:c r="E41" s="57"/>
      <x:c r="F41" s="57"/>
      <x:c r="G41" s="57"/>
      <x:c r="H41" s="57"/>
      <x:c r="I41" s="57"/>
      <x:c r="J41" s="57"/>
      <x:c r="K41" s="57"/>
      <x:c r="L41" s="57"/>
      <x:c r="M41" s="57"/>
      <x:c r="N41" s="57"/>
      <x:c r="O41" s="57"/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>
      <x:c r="A42" s="57"/>
      <x:c r="B42" s="57"/>
      <x:c r="C42" s="57"/>
      <x:c r="D42" s="57"/>
      <x:c r="E42" s="57"/>
      <x:c r="F42" s="57"/>
      <x:c r="G42" s="57"/>
      <x:c r="H42" s="57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>
      <x:c r="A43" s="57"/>
      <x:c r="B43" s="57"/>
      <x:c r="C43" s="57"/>
      <x:c r="D43" s="57"/>
      <x:c r="E43" s="57"/>
      <x:c r="F43" s="57"/>
      <x:c r="G43" s="57"/>
      <x:c r="H43" s="57"/>
      <x:c r="I43" s="57"/>
      <x:c r="J43" s="57"/>
      <x:c r="K43" s="57"/>
      <x:c r="L43" s="57"/>
      <x:c r="M43" s="57"/>
      <x:c r="N43" s="57"/>
      <x:c r="O43" s="57"/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>
      <x:c r="A44" s="57"/>
      <x:c r="B44" s="57"/>
      <x:c r="C44" s="57"/>
      <x:c r="D44" s="57"/>
      <x:c r="E44" s="57"/>
      <x:c r="F44" s="57"/>
      <x:c r="G44" s="57"/>
      <x:c r="H44" s="57"/>
      <x:c r="I44" s="57"/>
      <x:c r="J44" s="57"/>
      <x:c r="K44" s="57"/>
      <x:c r="L44" s="57"/>
      <x:c r="M44" s="57"/>
      <x:c r="N44" s="57"/>
      <x:c r="O44" s="57"/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>
      <x:c r="A45" s="57"/>
      <x:c r="B45" s="57"/>
      <x:c r="C45" s="57"/>
      <x:c r="D45" s="57"/>
      <x:c r="E45" s="57"/>
      <x:c r="F45" s="57"/>
      <x:c r="G45" s="57"/>
      <x:c r="H45" s="57"/>
      <x:c r="I45" s="57"/>
      <x:c r="J45" s="57"/>
      <x:c r="K45" s="57"/>
      <x:c r="L45" s="57"/>
      <x:c r="M45" s="57"/>
      <x:c r="N45" s="57"/>
      <x:c r="O45" s="57"/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>
      <x:c r="A46" s="57"/>
      <x:c r="B46" s="57"/>
      <x:c r="C46" s="57"/>
      <x:c r="D46" s="57"/>
      <x:c r="E46" s="57"/>
      <x:c r="F46" s="57"/>
      <x:c r="G46" s="57"/>
      <x:c r="H46" s="57"/>
      <x:c r="I46" s="57"/>
      <x:c r="J46" s="57"/>
      <x:c r="K46" s="57"/>
      <x:c r="L46" s="57"/>
      <x:c r="M46" s="57"/>
      <x:c r="N46" s="57"/>
      <x:c r="O46" s="57"/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>
      <x:c r="A47" s="57"/>
      <x:c r="B47" s="57"/>
      <x:c r="C47" s="57"/>
      <x:c r="D47" s="57"/>
      <x:c r="E47" s="57"/>
      <x:c r="F47" s="57"/>
      <x:c r="G47" s="57"/>
      <x:c r="H47" s="57"/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>
      <x:c r="A48" s="57"/>
      <x:c r="B48" s="57"/>
      <x:c r="C48" s="57"/>
      <x:c r="D48" s="57"/>
      <x:c r="E48" s="57"/>
      <x:c r="F48" s="57"/>
      <x:c r="G48" s="57"/>
      <x:c r="H48" s="57"/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>
      <x:c r="A49" s="57"/>
      <x:c r="B49" s="57"/>
      <x:c r="C49" s="57"/>
      <x:c r="D49" s="57"/>
      <x:c r="E49" s="57"/>
      <x:c r="F49" s="57"/>
      <x:c r="G49" s="57"/>
      <x:c r="H49" s="57"/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>
      <x:c r="A50" s="57"/>
      <x:c r="B50" s="57"/>
      <x:c r="C50" s="57"/>
      <x:c r="D50" s="57"/>
      <x:c r="E50" s="57"/>
      <x:c r="F50" s="57"/>
      <x:c r="G50" s="57"/>
      <x:c r="H50" s="57"/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>
      <x:c r="A51" s="57"/>
      <x:c r="B51" s="57"/>
      <x:c r="C51" s="57"/>
      <x:c r="D51" s="57"/>
      <x:c r="E51" s="57"/>
      <x:c r="F51" s="57"/>
      <x:c r="G51" s="57"/>
      <x:c r="H51" s="57"/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>
      <x:c r="A52" s="57"/>
      <x:c r="B52" s="57"/>
      <x:c r="C52" s="57"/>
      <x:c r="D52" s="57"/>
      <x:c r="E52" s="57"/>
      <x:c r="F52" s="57"/>
      <x:c r="G52" s="57"/>
      <x:c r="H52" s="57"/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>
      <x:c r="A53" s="57"/>
      <x:c r="B53" s="57"/>
      <x:c r="C53" s="57"/>
      <x:c r="D53" s="57"/>
      <x:c r="E53" s="57"/>
      <x:c r="F53" s="57"/>
      <x:c r="G53" s="57"/>
      <x:c r="H53" s="57"/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>
      <x:c r="A54" s="57"/>
      <x:c r="B54" s="57"/>
      <x:c r="C54" s="57"/>
      <x:c r="D54" s="57"/>
      <x:c r="E54" s="57"/>
      <x:c r="F54" s="57"/>
      <x:c r="G54" s="57"/>
      <x:c r="H54" s="57"/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>
      <x:c r="A55" s="57"/>
      <x:c r="B55" s="57"/>
      <x:c r="C55" s="57"/>
      <x:c r="D55" s="57"/>
      <x:c r="E55" s="57"/>
      <x:c r="F55" s="57"/>
      <x:c r="G55" s="57"/>
      <x:c r="H55" s="57"/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>
      <x:c r="A56" s="57"/>
      <x:c r="B56" s="57"/>
      <x:c r="C56" s="57"/>
      <x:c r="D56" s="57"/>
      <x:c r="E56" s="57"/>
      <x:c r="F56" s="57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>
      <x:c r="A57" s="57"/>
      <x:c r="B57" s="57"/>
      <x:c r="C57" s="57"/>
      <x:c r="D57" s="57"/>
      <x:c r="E57" s="57"/>
      <x:c r="F57" s="57"/>
      <x:c r="G57" s="57"/>
      <x:c r="H57" s="57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>
      <x:c r="A58" s="57"/>
      <x:c r="B58" s="57"/>
      <x:c r="C58" s="57"/>
      <x:c r="D58" s="57"/>
      <x:c r="E58" s="57"/>
      <x:c r="F58" s="57"/>
      <x:c r="G58" s="57"/>
      <x:c r="H58" s="57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>
      <x:c r="A59" s="57"/>
      <x:c r="B59" s="57"/>
      <x:c r="C59" s="57"/>
      <x:c r="D59" s="57"/>
      <x:c r="E59" s="57"/>
      <x:c r="F59" s="57"/>
      <x:c r="G59" s="57"/>
      <x:c r="H59" s="57"/>
      <x:c r="I59" s="57"/>
      <x:c r="J59" s="57"/>
      <x:c r="K59" s="57"/>
      <x:c r="L59" s="57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>
      <x:c r="A60" s="57"/>
      <x:c r="B60" s="57"/>
      <x:c r="C60" s="57"/>
      <x:c r="D60" s="57"/>
      <x:c r="E60" s="57"/>
      <x:c r="F60" s="57"/>
      <x:c r="G60" s="57"/>
      <x:c r="H60" s="57"/>
      <x:c r="I60" s="57"/>
      <x:c r="J60" s="57"/>
      <x:c r="K60" s="57"/>
      <x:c r="L60" s="57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>
      <x:c r="A61" s="57"/>
      <x:c r="B61" s="57"/>
      <x:c r="C61" s="57"/>
      <x:c r="D61" s="57"/>
      <x:c r="E61" s="57"/>
      <x:c r="F61" s="57"/>
      <x:c r="G61" s="57"/>
      <x:c r="H61" s="57"/>
      <x:c r="I61" s="57"/>
      <x:c r="J61" s="57"/>
      <x:c r="K61" s="57"/>
      <x:c r="L61" s="57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>
      <x:c r="A62" s="57"/>
      <x:c r="B62" s="57"/>
      <x:c r="C62" s="57"/>
      <x:c r="D62" s="57"/>
      <x:c r="E62" s="57"/>
      <x:c r="F62" s="57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>
      <x:c r="A63" s="57"/>
      <x:c r="B63" s="57"/>
      <x:c r="C63" s="57"/>
      <x:c r="D63" s="57"/>
      <x:c r="E63" s="57"/>
      <x:c r="F63" s="57"/>
      <x:c r="G63" s="57"/>
      <x:c r="H63" s="57"/>
      <x:c r="I63" s="57"/>
      <x:c r="J63" s="57"/>
      <x:c r="K63" s="57"/>
      <x:c r="L63" s="57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>
      <x:c r="A64" s="57"/>
      <x:c r="B64" s="57"/>
      <x:c r="C64" s="57"/>
      <x:c r="D64" s="57"/>
      <x:c r="E64" s="57"/>
      <x:c r="F64" s="57"/>
      <x:c r="G64" s="57"/>
      <x:c r="H64" s="57"/>
      <x:c r="I64" s="57"/>
      <x:c r="J64" s="57"/>
      <x:c r="K64" s="57"/>
      <x:c r="L64" s="57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>
      <x:c r="A65" s="57"/>
      <x:c r="B65" s="57"/>
      <x:c r="C65" s="57"/>
      <x:c r="D65" s="57"/>
      <x:c r="E65" s="57"/>
      <x:c r="F65" s="57"/>
      <x:c r="G65" s="57"/>
      <x:c r="H65" s="57"/>
      <x:c r="I65" s="57"/>
      <x:c r="J65" s="57"/>
      <x:c r="K65" s="57"/>
      <x:c r="L65" s="57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>
      <x:c r="A66" s="57"/>
      <x:c r="B66" s="57"/>
      <x:c r="C66" s="57"/>
      <x:c r="D66" s="57"/>
      <x:c r="E66" s="57"/>
      <x:c r="F66" s="57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>
      <x:c r="A67" s="57"/>
      <x:c r="B67" s="57"/>
      <x:c r="C67" s="57"/>
      <x:c r="D67" s="57"/>
      <x:c r="E67" s="57"/>
      <x:c r="F67" s="57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>
      <x:c r="A68" s="57"/>
      <x:c r="B68" s="57"/>
      <x:c r="C68" s="57"/>
      <x:c r="D68" s="57"/>
      <x:c r="E68" s="57"/>
      <x:c r="F68" s="57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>
      <x:c r="A69" s="57"/>
      <x:c r="B69" s="57"/>
      <x:c r="C69" s="57"/>
      <x:c r="D69" s="57"/>
      <x:c r="E69" s="57"/>
      <x:c r="F69" s="57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>
      <x:c r="A70" s="57"/>
      <x:c r="B70" s="57"/>
      <x:c r="C70" s="57"/>
      <x:c r="D70" s="57"/>
      <x:c r="E70" s="57"/>
      <x:c r="F70" s="57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>
      <x:c r="A71" s="57"/>
      <x:c r="B71" s="57"/>
      <x:c r="C71" s="57"/>
      <x:c r="D71" s="57"/>
      <x:c r="E71" s="57"/>
      <x:c r="F71" s="57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>
      <x:c r="A72" s="57"/>
      <x:c r="B72" s="57"/>
      <x:c r="C72" s="57"/>
      <x:c r="D72" s="57"/>
      <x:c r="E72" s="57"/>
      <x:c r="F72" s="57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>
      <x:c r="A73" s="57"/>
      <x:c r="B73" s="57"/>
      <x:c r="C73" s="57"/>
      <x:c r="D73" s="57"/>
      <x:c r="E73" s="57"/>
      <x:c r="F73" s="57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>
      <x:c r="A74" s="57"/>
      <x:c r="B74" s="57"/>
      <x:c r="C74" s="57"/>
      <x:c r="D74" s="57"/>
      <x:c r="E74" s="57"/>
      <x:c r="F74" s="57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>
      <x:c r="A75" s="57"/>
      <x:c r="B75" s="57"/>
      <x:c r="C75" s="57"/>
      <x:c r="D75" s="57"/>
      <x:c r="E75" s="57"/>
      <x:c r="F75" s="57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>
      <x:c r="A76" s="57"/>
      <x:c r="B76" s="57"/>
      <x:c r="C76" s="57"/>
      <x:c r="D76" s="57"/>
      <x:c r="E76" s="57"/>
      <x:c r="F76" s="57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>
      <x:c r="A77" s="57"/>
      <x:c r="B77" s="57"/>
      <x:c r="C77" s="57"/>
      <x:c r="D77" s="57"/>
      <x:c r="E77" s="57"/>
      <x:c r="F77" s="57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>
      <x:c r="A78" s="57"/>
      <x:c r="B78" s="57"/>
      <x:c r="C78" s="57"/>
      <x:c r="D78" s="57"/>
      <x:c r="E78" s="57"/>
      <x:c r="F78" s="57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>
      <x:c r="A79" s="57"/>
      <x:c r="B79" s="57"/>
      <x:c r="C79" s="57"/>
      <x:c r="D79" s="57"/>
      <x:c r="E79" s="57"/>
      <x:c r="F79" s="57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>
      <x:c r="A80" s="57"/>
      <x:c r="B80" s="57"/>
      <x:c r="C80" s="57"/>
      <x:c r="D80" s="57"/>
      <x:c r="E80" s="57"/>
      <x:c r="F80" s="57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>
      <x:c r="A81" s="57"/>
      <x:c r="B81" s="57"/>
      <x:c r="C81" s="57"/>
      <x:c r="D81" s="57"/>
      <x:c r="E81" s="57"/>
      <x:c r="F81" s="57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>
      <x:c r="A82" s="57"/>
      <x:c r="B82" s="57"/>
      <x:c r="C82" s="57"/>
      <x:c r="D82" s="57"/>
      <x:c r="E82" s="57"/>
      <x:c r="F82" s="57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>
      <x:c r="A83" s="57"/>
      <x:c r="B83" s="57"/>
      <x:c r="C83" s="57"/>
      <x:c r="D83" s="57"/>
      <x:c r="E83" s="57"/>
      <x:c r="F83" s="57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>
      <x:c r="A84" s="57"/>
      <x:c r="B84" s="57"/>
      <x:c r="C84" s="57"/>
      <x:c r="D84" s="57"/>
      <x:c r="E84" s="57"/>
      <x:c r="F84" s="57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>
      <x:c r="A85" s="57"/>
      <x:c r="B85" s="57"/>
      <x:c r="C85" s="57"/>
      <x:c r="D85" s="57"/>
      <x:c r="E85" s="57"/>
      <x:c r="F85" s="57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>
      <x:c r="A86" s="57"/>
      <x:c r="B86" s="57"/>
      <x:c r="C86" s="57"/>
      <x:c r="D86" s="57"/>
      <x:c r="E86" s="57"/>
      <x:c r="F86" s="57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>
      <x:c r="A87" s="57"/>
      <x:c r="B87" s="57"/>
      <x:c r="C87" s="57"/>
      <x:c r="D87" s="57"/>
      <x:c r="E87" s="57"/>
      <x:c r="F87" s="57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>
      <x:c r="A88" s="57"/>
      <x:c r="B88" s="57"/>
      <x:c r="C88" s="57"/>
      <x:c r="D88" s="57"/>
      <x:c r="E88" s="57"/>
      <x:c r="F88" s="57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>
      <x:c r="A89" s="57"/>
      <x:c r="B89" s="57"/>
      <x:c r="C89" s="57"/>
      <x:c r="D89" s="57"/>
      <x:c r="E89" s="57"/>
      <x:c r="F89" s="57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>
      <x:c r="A90" s="57"/>
      <x:c r="B90" s="57"/>
      <x:c r="C90" s="57"/>
      <x:c r="D90" s="57"/>
      <x:c r="E90" s="57"/>
      <x:c r="F90" s="57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>
      <x:c r="A91" s="57"/>
      <x:c r="B91" s="57"/>
      <x:c r="C91" s="57"/>
      <x:c r="D91" s="57"/>
      <x:c r="E91" s="57"/>
      <x:c r="F91" s="57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>
      <x:c r="A92" s="57"/>
      <x:c r="B92" s="57"/>
      <x:c r="C92" s="57"/>
      <x:c r="D92" s="57"/>
      <x:c r="E92" s="57"/>
      <x:c r="F92" s="57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>
      <x:c r="A93" s="57"/>
      <x:c r="B93" s="57"/>
      <x:c r="C93" s="57"/>
      <x:c r="D93" s="57"/>
      <x:c r="E93" s="57"/>
      <x:c r="F93" s="57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>
      <x:c r="A94" s="57"/>
      <x:c r="B94" s="57"/>
      <x:c r="C94" s="57"/>
      <x:c r="D94" s="57"/>
      <x:c r="E94" s="57"/>
      <x:c r="F94" s="57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>
      <x:c r="A95" s="57"/>
      <x:c r="B95" s="57"/>
      <x:c r="C95" s="57"/>
      <x:c r="D95" s="57"/>
      <x:c r="E95" s="57"/>
      <x:c r="F95" s="57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>
      <x:c r="A96" s="57"/>
      <x:c r="B96" s="57"/>
      <x:c r="C96" s="57"/>
      <x:c r="D96" s="57"/>
      <x:c r="E96" s="57"/>
      <x:c r="F96" s="57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>
      <x:c r="A97" s="57"/>
      <x:c r="B97" s="57"/>
      <x:c r="C97" s="57"/>
      <x:c r="D97" s="57"/>
      <x:c r="E97" s="57"/>
      <x:c r="F97" s="57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>
      <x:c r="A98" s="57"/>
      <x:c r="B98" s="57"/>
      <x:c r="C98" s="57"/>
      <x:c r="D98" s="57"/>
      <x:c r="E98" s="57"/>
      <x:c r="F98" s="57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>
      <x:c r="A99" s="57"/>
      <x:c r="B99" s="57"/>
      <x:c r="C99" s="57"/>
      <x:c r="D99" s="57"/>
      <x:c r="E99" s="57"/>
      <x:c r="F99" s="57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>
      <x:c r="A100" s="57"/>
      <x:c r="B100" s="57"/>
      <x:c r="C100" s="57"/>
      <x:c r="D100" s="57"/>
      <x:c r="E100" s="57"/>
      <x:c r="F100" s="57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>
      <x:c r="A101" s="57"/>
      <x:c r="B101" s="57"/>
      <x:c r="C101" s="57"/>
      <x:c r="D101" s="57"/>
      <x:c r="E101" s="57"/>
      <x:c r="F101" s="57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>
      <x:c r="A102" s="57"/>
      <x:c r="B102" s="57"/>
      <x:c r="C102" s="57"/>
      <x:c r="D102" s="57"/>
      <x:c r="E102" s="57"/>
      <x:c r="F102" s="57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>
      <x:c r="A103" s="57"/>
      <x:c r="B103" s="57"/>
      <x:c r="C103" s="57"/>
      <x:c r="D103" s="57"/>
      <x:c r="E103" s="57"/>
      <x:c r="F103" s="57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>
      <x:c r="A104" s="57"/>
      <x:c r="B104" s="57"/>
      <x:c r="C104" s="57"/>
      <x:c r="D104" s="57"/>
      <x:c r="E104" s="57"/>
      <x:c r="F104" s="57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>
      <x:c r="A105" s="57"/>
      <x:c r="B105" s="57"/>
      <x:c r="C105" s="57"/>
      <x:c r="D105" s="57"/>
      <x:c r="E105" s="57"/>
      <x:c r="F105" s="57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>
      <x:c r="A106" s="57"/>
      <x:c r="B106" s="57"/>
      <x:c r="C106" s="57"/>
      <x:c r="D106" s="57"/>
      <x:c r="E106" s="57"/>
      <x:c r="F106" s="57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>
      <x:c r="A107" s="57"/>
      <x:c r="B107" s="57"/>
      <x:c r="C107" s="57"/>
      <x:c r="D107" s="57"/>
      <x:c r="E107" s="57"/>
      <x:c r="F107" s="57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>
      <x:c r="A108" s="57"/>
      <x:c r="B108" s="57"/>
      <x:c r="C108" s="57"/>
      <x:c r="D108" s="57"/>
      <x:c r="E108" s="57"/>
      <x:c r="F108" s="57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>
      <x:c r="A109" s="57"/>
      <x:c r="B109" s="57"/>
      <x:c r="C109" s="57"/>
      <x:c r="D109" s="57"/>
      <x:c r="E109" s="57"/>
      <x:c r="F109" s="57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>
      <x:c r="A110" s="57"/>
      <x:c r="B110" s="57"/>
      <x:c r="C110" s="57"/>
      <x:c r="D110" s="57"/>
      <x:c r="E110" s="57"/>
      <x:c r="F110" s="57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>
      <x:c r="A111" s="57"/>
      <x:c r="B111" s="57"/>
      <x:c r="C111" s="57"/>
      <x:c r="D111" s="57"/>
      <x:c r="E111" s="57"/>
      <x:c r="F111" s="57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>
      <x:c r="A112" s="57"/>
      <x:c r="B112" s="57"/>
      <x:c r="C112" s="57"/>
      <x:c r="D112" s="57"/>
      <x:c r="E112" s="57"/>
      <x:c r="F112" s="57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>
      <x:c r="A113" s="57"/>
      <x:c r="B113" s="57"/>
      <x:c r="C113" s="57"/>
      <x:c r="D113" s="57"/>
      <x:c r="E113" s="57"/>
      <x:c r="F113" s="57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>
      <x:c r="A114" s="57"/>
      <x:c r="B114" s="57"/>
      <x:c r="C114" s="57"/>
      <x:c r="D114" s="57"/>
      <x:c r="E114" s="57"/>
      <x:c r="F114" s="57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>
      <x:c r="A115" s="57"/>
      <x:c r="B115" s="57"/>
      <x:c r="C115" s="57"/>
      <x:c r="D115" s="57"/>
      <x:c r="E115" s="57"/>
      <x:c r="F115" s="57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>
      <x:c r="A116" s="57"/>
      <x:c r="B116" s="57"/>
      <x:c r="C116" s="57"/>
      <x:c r="D116" s="57"/>
      <x:c r="E116" s="57"/>
      <x:c r="F116" s="57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>
      <x:c r="A117" s="57"/>
      <x:c r="B117" s="57"/>
      <x:c r="C117" s="57"/>
      <x:c r="D117" s="57"/>
      <x:c r="E117" s="57"/>
      <x:c r="F117" s="57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>
      <x:c r="A118" s="57"/>
      <x:c r="B118" s="57"/>
      <x:c r="C118" s="57"/>
      <x:c r="D118" s="57"/>
      <x:c r="E118" s="57"/>
      <x:c r="F118" s="57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>
      <x:c r="A119" s="57"/>
      <x:c r="B119" s="57"/>
      <x:c r="C119" s="57"/>
      <x:c r="D119" s="57"/>
      <x:c r="E119" s="57"/>
      <x:c r="F119" s="57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>
      <x:c r="A120" s="57"/>
      <x:c r="B120" s="57"/>
      <x:c r="C120" s="57"/>
      <x:c r="D120" s="57"/>
      <x:c r="E120" s="57"/>
      <x:c r="F120" s="57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>
      <x:c r="A121" s="57"/>
      <x:c r="B121" s="57"/>
      <x:c r="C121" s="57"/>
      <x:c r="D121" s="57"/>
      <x:c r="E121" s="57"/>
      <x:c r="F121" s="57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>
      <x:c r="A122" s="57"/>
      <x:c r="B122" s="57"/>
      <x:c r="C122" s="57"/>
      <x:c r="D122" s="57"/>
      <x:c r="E122" s="57"/>
      <x:c r="F122" s="57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>
      <x:c r="A123" s="57"/>
      <x:c r="B123" s="57"/>
      <x:c r="C123" s="57"/>
      <x:c r="D123" s="57"/>
      <x:c r="E123" s="57"/>
      <x:c r="F123" s="57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>
      <x:c r="A124" s="57"/>
      <x:c r="B124" s="57"/>
      <x:c r="C124" s="57"/>
      <x:c r="D124" s="57"/>
      <x:c r="E124" s="57"/>
      <x:c r="F124" s="57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>
      <x:c r="A125" s="57"/>
      <x:c r="B125" s="57"/>
      <x:c r="C125" s="57"/>
      <x:c r="D125" s="57"/>
      <x:c r="E125" s="57"/>
      <x:c r="F125" s="57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>
      <x:c r="A126" s="57"/>
      <x:c r="B126" s="57"/>
      <x:c r="C126" s="57"/>
      <x:c r="D126" s="57"/>
      <x:c r="E126" s="57"/>
      <x:c r="F126" s="57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>
      <x:c r="A127" s="57"/>
      <x:c r="B127" s="57"/>
      <x:c r="C127" s="57"/>
      <x:c r="D127" s="57"/>
      <x:c r="E127" s="57"/>
      <x:c r="F127" s="57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>
      <x:c r="A128" s="57"/>
      <x:c r="B128" s="57"/>
      <x:c r="C128" s="57"/>
      <x:c r="D128" s="57"/>
      <x:c r="E128" s="57"/>
      <x:c r="F128" s="57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>
      <x:c r="A129" s="57"/>
      <x:c r="B129" s="57"/>
      <x:c r="C129" s="57"/>
      <x:c r="D129" s="57"/>
      <x:c r="E129" s="57"/>
      <x:c r="F129" s="57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>
      <x:c r="A130" s="57"/>
      <x:c r="B130" s="57"/>
      <x:c r="C130" s="57"/>
      <x:c r="D130" s="57"/>
      <x:c r="E130" s="57"/>
      <x:c r="F130" s="57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>
      <x:c r="A131" s="57"/>
      <x:c r="B131" s="57"/>
      <x:c r="C131" s="57"/>
      <x:c r="D131" s="57"/>
      <x:c r="E131" s="57"/>
      <x:c r="F131" s="57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>
      <x:c r="A132" s="57"/>
      <x:c r="B132" s="57"/>
      <x:c r="C132" s="57"/>
      <x:c r="D132" s="57"/>
      <x:c r="E132" s="57"/>
      <x:c r="F132" s="57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>
      <x:c r="A133" s="57"/>
      <x:c r="B133" s="57"/>
      <x:c r="C133" s="57"/>
      <x:c r="D133" s="57"/>
      <x:c r="E133" s="57"/>
      <x:c r="F133" s="57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>
      <x:c r="A134" s="57"/>
      <x:c r="B134" s="57"/>
      <x:c r="C134" s="57"/>
      <x:c r="D134" s="57"/>
      <x:c r="E134" s="57"/>
      <x:c r="F134" s="57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>
      <x:c r="A135" s="57"/>
      <x:c r="B135" s="57"/>
      <x:c r="C135" s="57"/>
      <x:c r="D135" s="57"/>
      <x:c r="E135" s="57"/>
      <x:c r="F135" s="57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>
      <x:c r="A136" s="57"/>
      <x:c r="B136" s="57"/>
      <x:c r="C136" s="57"/>
      <x:c r="D136" s="57"/>
      <x:c r="E136" s="57"/>
      <x:c r="F136" s="57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>
      <x:c r="A137" s="57"/>
      <x:c r="B137" s="57"/>
      <x:c r="C137" s="57"/>
      <x:c r="D137" s="57"/>
      <x:c r="E137" s="57"/>
      <x:c r="F137" s="57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>
      <x:c r="A138" s="57"/>
      <x:c r="B138" s="57"/>
      <x:c r="C138" s="57"/>
      <x:c r="D138" s="57"/>
      <x:c r="E138" s="57"/>
      <x:c r="F138" s="57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>
      <x:c r="A139" s="57"/>
      <x:c r="B139" s="57"/>
      <x:c r="C139" s="57"/>
      <x:c r="D139" s="57"/>
      <x:c r="E139" s="57"/>
      <x:c r="F139" s="57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>
      <x:c r="A140" s="57"/>
      <x:c r="B140" s="57"/>
      <x:c r="C140" s="57"/>
      <x:c r="D140" s="57"/>
      <x:c r="E140" s="57"/>
      <x:c r="F140" s="57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>
      <x:c r="A141" s="57"/>
      <x:c r="B141" s="57"/>
      <x:c r="C141" s="57"/>
      <x:c r="D141" s="57"/>
      <x:c r="E141" s="57"/>
      <x:c r="F141" s="57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>
      <x:c r="A142" s="57"/>
      <x:c r="B142" s="57"/>
      <x:c r="C142" s="57"/>
      <x:c r="D142" s="57"/>
      <x:c r="E142" s="57"/>
      <x:c r="F142" s="57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>
      <x:c r="A143" s="57"/>
      <x:c r="B143" s="57"/>
      <x:c r="C143" s="57"/>
      <x:c r="D143" s="57"/>
      <x:c r="E143" s="57"/>
      <x:c r="F143" s="57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>
      <x:c r="A144" s="57"/>
      <x:c r="B144" s="57"/>
      <x:c r="C144" s="57"/>
      <x:c r="D144" s="57"/>
      <x:c r="E144" s="57"/>
      <x:c r="F144" s="57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>
      <x:c r="A145" s="57"/>
      <x:c r="B145" s="57"/>
      <x:c r="C145" s="57"/>
      <x:c r="D145" s="57"/>
      <x:c r="E145" s="57"/>
      <x:c r="F145" s="57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>
      <x:c r="A146" s="57"/>
      <x:c r="B146" s="57"/>
      <x:c r="C146" s="57"/>
      <x:c r="D146" s="57"/>
      <x:c r="E146" s="57"/>
      <x:c r="F146" s="57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>
      <x:c r="A147" s="57"/>
      <x:c r="B147" s="57"/>
      <x:c r="C147" s="57"/>
      <x:c r="D147" s="57"/>
      <x:c r="E147" s="57"/>
      <x:c r="F147" s="57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>
      <x:c r="A148" s="57"/>
      <x:c r="B148" s="57"/>
      <x:c r="C148" s="57"/>
      <x:c r="D148" s="57"/>
      <x:c r="E148" s="57"/>
      <x:c r="F148" s="57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>
      <x:c r="A149" s="57"/>
      <x:c r="B149" s="57"/>
      <x:c r="C149" s="57"/>
      <x:c r="D149" s="57"/>
      <x:c r="E149" s="57"/>
      <x:c r="F149" s="57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>
      <x:c r="A150" s="57"/>
      <x:c r="B150" s="57"/>
      <x:c r="C150" s="57"/>
      <x:c r="D150" s="57"/>
      <x:c r="E150" s="57"/>
      <x:c r="F150" s="57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>
      <x:c r="A151" s="57"/>
      <x:c r="B151" s="57"/>
      <x:c r="C151" s="57"/>
      <x:c r="D151" s="57"/>
      <x:c r="E151" s="57"/>
      <x:c r="F151" s="57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>
      <x:c r="A152" s="57"/>
      <x:c r="B152" s="57"/>
      <x:c r="C152" s="57"/>
      <x:c r="D152" s="57"/>
      <x:c r="E152" s="57"/>
      <x:c r="F152" s="57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>
      <x:c r="A153" s="57"/>
      <x:c r="B153" s="57"/>
      <x:c r="C153" s="57"/>
      <x:c r="D153" s="57"/>
      <x:c r="E153" s="57"/>
      <x:c r="F153" s="57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>
      <x:c r="A154" s="57"/>
      <x:c r="B154" s="57"/>
      <x:c r="C154" s="57"/>
      <x:c r="D154" s="57"/>
      <x:c r="E154" s="57"/>
      <x:c r="F154" s="57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>
      <x:c r="A155" s="57"/>
      <x:c r="B155" s="57"/>
      <x:c r="C155" s="57"/>
      <x:c r="D155" s="57"/>
      <x:c r="E155" s="57"/>
      <x:c r="F155" s="57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>
      <x:c r="A156" s="57"/>
      <x:c r="B156" s="57"/>
      <x:c r="C156" s="57"/>
      <x:c r="D156" s="57"/>
      <x:c r="E156" s="57"/>
      <x:c r="F156" s="57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>
      <x:c r="A157" s="57"/>
      <x:c r="B157" s="57"/>
      <x:c r="C157" s="57"/>
      <x:c r="D157" s="57"/>
      <x:c r="E157" s="57"/>
      <x:c r="F157" s="57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>
      <x:c r="A158" s="57"/>
      <x:c r="B158" s="57"/>
      <x:c r="C158" s="57"/>
      <x:c r="D158" s="57"/>
      <x:c r="E158" s="57"/>
      <x:c r="F158" s="57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>
      <x:c r="A159" s="57"/>
      <x:c r="B159" s="57"/>
      <x:c r="C159" s="57"/>
      <x:c r="D159" s="57"/>
      <x:c r="E159" s="57"/>
      <x:c r="F159" s="57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>
      <x:c r="A160" s="57"/>
      <x:c r="B160" s="57"/>
      <x:c r="C160" s="57"/>
      <x:c r="D160" s="57"/>
      <x:c r="E160" s="57"/>
      <x:c r="F160" s="57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>
      <x:c r="A161" s="57"/>
      <x:c r="B161" s="57"/>
      <x:c r="C161" s="57"/>
      <x:c r="D161" s="57"/>
      <x:c r="E161" s="57"/>
      <x:c r="F161" s="57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>
      <x:c r="A162" s="57"/>
      <x:c r="B162" s="57"/>
      <x:c r="C162" s="57"/>
      <x:c r="D162" s="57"/>
      <x:c r="E162" s="57"/>
      <x:c r="F162" s="57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>
      <x:c r="A163" s="57"/>
      <x:c r="B163" s="57"/>
      <x:c r="C163" s="57"/>
      <x:c r="D163" s="57"/>
      <x:c r="E163" s="57"/>
      <x:c r="F163" s="57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>
      <x:c r="A164" s="57"/>
      <x:c r="B164" s="57"/>
      <x:c r="C164" s="57"/>
      <x:c r="D164" s="57"/>
      <x:c r="E164" s="57"/>
      <x:c r="F164" s="57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>
      <x:c r="A165" s="57"/>
      <x:c r="B165" s="57"/>
      <x:c r="C165" s="57"/>
      <x:c r="D165" s="57"/>
      <x:c r="E165" s="57"/>
      <x:c r="F165" s="57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>
      <x:c r="A166" s="57"/>
      <x:c r="B166" s="57"/>
      <x:c r="C166" s="57"/>
      <x:c r="D166" s="57"/>
      <x:c r="E166" s="57"/>
      <x:c r="F166" s="57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>
      <x:c r="A167" s="57"/>
      <x:c r="B167" s="57"/>
      <x:c r="C167" s="57"/>
      <x:c r="D167" s="57"/>
      <x:c r="E167" s="57"/>
      <x:c r="F167" s="57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>
      <x:c r="A168" s="57"/>
      <x:c r="B168" s="57"/>
      <x:c r="C168" s="57"/>
      <x:c r="D168" s="57"/>
      <x:c r="E168" s="57"/>
      <x:c r="F168" s="57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>
      <x:c r="A169" s="57"/>
      <x:c r="B169" s="57"/>
      <x:c r="C169" s="57"/>
      <x:c r="D169" s="57"/>
      <x:c r="E169" s="57"/>
      <x:c r="F169" s="57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>
      <x:c r="A170" s="57"/>
      <x:c r="B170" s="57"/>
      <x:c r="C170" s="57"/>
      <x:c r="D170" s="57"/>
      <x:c r="E170" s="57"/>
      <x:c r="F170" s="57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>
      <x:c r="A171" s="57"/>
      <x:c r="B171" s="57"/>
      <x:c r="C171" s="57"/>
      <x:c r="D171" s="57"/>
      <x:c r="E171" s="57"/>
      <x:c r="F171" s="57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>
      <x:c r="A172" s="57"/>
      <x:c r="B172" s="57"/>
      <x:c r="C172" s="57"/>
      <x:c r="D172" s="57"/>
      <x:c r="E172" s="57"/>
      <x:c r="F172" s="57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>
      <x:c r="A173" s="57"/>
      <x:c r="B173" s="57"/>
      <x:c r="C173" s="57"/>
      <x:c r="D173" s="57"/>
      <x:c r="E173" s="57"/>
      <x:c r="F173" s="57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>
      <x:c r="A174" s="57"/>
      <x:c r="B174" s="57"/>
      <x:c r="C174" s="57"/>
      <x:c r="D174" s="57"/>
      <x:c r="E174" s="57"/>
      <x:c r="F174" s="57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>
      <x:c r="A175" s="57"/>
      <x:c r="B175" s="57"/>
      <x:c r="C175" s="57"/>
      <x:c r="D175" s="57"/>
      <x:c r="E175" s="57"/>
      <x:c r="F175" s="57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>
      <x:c r="A176" s="57"/>
      <x:c r="B176" s="57"/>
      <x:c r="C176" s="57"/>
      <x:c r="D176" s="57"/>
      <x:c r="E176" s="57"/>
      <x:c r="F176" s="57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>
      <x:c r="A177" s="57"/>
      <x:c r="B177" s="57"/>
      <x:c r="C177" s="57"/>
      <x:c r="D177" s="57"/>
      <x:c r="E177" s="57"/>
      <x:c r="F177" s="57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>
      <x:c r="A178" s="57"/>
      <x:c r="B178" s="57"/>
      <x:c r="C178" s="57"/>
      <x:c r="D178" s="57"/>
      <x:c r="E178" s="57"/>
      <x:c r="F178" s="57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>
      <x:c r="A179" s="57"/>
      <x:c r="B179" s="57"/>
      <x:c r="C179" s="57"/>
      <x:c r="D179" s="57"/>
      <x:c r="E179" s="57"/>
      <x:c r="F179" s="57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>
      <x:c r="A180" s="57"/>
      <x:c r="B180" s="57"/>
      <x:c r="C180" s="57"/>
      <x:c r="D180" s="57"/>
      <x:c r="E180" s="57"/>
      <x:c r="F180" s="57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>
      <x:c r="A181" s="57"/>
      <x:c r="B181" s="57"/>
      <x:c r="C181" s="57"/>
      <x:c r="D181" s="57"/>
      <x:c r="E181" s="57"/>
      <x:c r="F181" s="57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>
      <x:c r="A182" s="57"/>
      <x:c r="B182" s="57"/>
      <x:c r="C182" s="57"/>
      <x:c r="D182" s="57"/>
      <x:c r="E182" s="57"/>
      <x:c r="F182" s="57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>
      <x:c r="A183" s="57"/>
      <x:c r="B183" s="57"/>
      <x:c r="C183" s="57"/>
      <x:c r="D183" s="57"/>
      <x:c r="E183" s="57"/>
      <x:c r="F183" s="57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>
      <x:c r="A184" s="57"/>
      <x:c r="B184" s="57"/>
      <x:c r="C184" s="57"/>
      <x:c r="D184" s="57"/>
      <x:c r="E184" s="57"/>
      <x:c r="F184" s="57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>
      <x:c r="A185" s="57"/>
      <x:c r="B185" s="57"/>
      <x:c r="C185" s="57"/>
      <x:c r="D185" s="57"/>
      <x:c r="E185" s="57"/>
      <x:c r="F185" s="57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>
      <x:c r="A186" s="57"/>
      <x:c r="B186" s="57"/>
      <x:c r="C186" s="57"/>
      <x:c r="D186" s="57"/>
      <x:c r="E186" s="57"/>
      <x:c r="F186" s="57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>
      <x:c r="A187" s="57"/>
      <x:c r="B187" s="57"/>
      <x:c r="C187" s="57"/>
      <x:c r="D187" s="57"/>
      <x:c r="E187" s="57"/>
      <x:c r="F187" s="57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>
      <x:c r="A188" s="57"/>
      <x:c r="B188" s="57"/>
      <x:c r="C188" s="57"/>
      <x:c r="D188" s="57"/>
      <x:c r="E188" s="57"/>
      <x:c r="F188" s="57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>
      <x:c r="A189" s="57"/>
      <x:c r="B189" s="57"/>
      <x:c r="C189" s="57"/>
      <x:c r="D189" s="57"/>
      <x:c r="E189" s="57"/>
      <x:c r="F189" s="57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>
      <x:c r="A190" s="57"/>
      <x:c r="B190" s="57"/>
      <x:c r="C190" s="57"/>
      <x:c r="D190" s="57"/>
      <x:c r="E190" s="57"/>
      <x:c r="F190" s="57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>
      <x:c r="A191" s="57"/>
      <x:c r="B191" s="57"/>
      <x:c r="C191" s="57"/>
      <x:c r="D191" s="57"/>
      <x:c r="E191" s="57"/>
      <x:c r="F191" s="57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>
      <x:c r="A192" s="57"/>
      <x:c r="B192" s="57"/>
      <x:c r="C192" s="57"/>
      <x:c r="D192" s="57"/>
      <x:c r="E192" s="57"/>
      <x:c r="F192" s="57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>
      <x:c r="A193" s="57"/>
      <x:c r="B193" s="57"/>
      <x:c r="C193" s="57"/>
      <x:c r="D193" s="57"/>
      <x:c r="E193" s="57"/>
      <x:c r="F193" s="57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>
      <x:c r="A194" s="57"/>
      <x:c r="B194" s="57"/>
      <x:c r="C194" s="57"/>
      <x:c r="D194" s="57"/>
      <x:c r="E194" s="57"/>
      <x:c r="F194" s="57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>
      <x:c r="A195" s="57"/>
      <x:c r="B195" s="57"/>
      <x:c r="C195" s="57"/>
      <x:c r="D195" s="57"/>
      <x:c r="E195" s="57"/>
      <x:c r="F195" s="57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>
      <x:c r="A196" s="57"/>
      <x:c r="B196" s="57"/>
      <x:c r="C196" s="57"/>
      <x:c r="D196" s="57"/>
      <x:c r="E196" s="57"/>
      <x:c r="F196" s="57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>
      <x:c r="A197" s="57"/>
      <x:c r="B197" s="57"/>
      <x:c r="C197" s="57"/>
      <x:c r="D197" s="57"/>
      <x:c r="E197" s="57"/>
      <x:c r="F197" s="57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>
      <x:c r="A198" s="57"/>
      <x:c r="B198" s="57"/>
      <x:c r="C198" s="57"/>
      <x:c r="D198" s="57"/>
      <x:c r="E198" s="57"/>
      <x:c r="F198" s="57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>
      <x:c r="A199" s="57"/>
      <x:c r="B199" s="57"/>
      <x:c r="C199" s="57"/>
      <x:c r="D199" s="57"/>
      <x:c r="E199" s="57"/>
      <x:c r="F199" s="57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>
      <x:c r="A200" s="57"/>
      <x:c r="B200" s="57"/>
      <x:c r="C200" s="57"/>
      <x:c r="D200" s="57"/>
      <x:c r="E200" s="57"/>
      <x:c r="F200" s="57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</x:sheetData>
  <x:mergeCells>
    <x:mergeCell ref="A1:J2"/>
    <x:mergeCell ref="A3:J3"/>
    <x:mergeCell ref="A7:J7"/>
    <x:mergeCell ref="A16:J16"/>
    <x:mergeCell ref="A17:J20"/>
  </x:mergeCells>
  <x:conditionalFormatting sqref="B9:J13">
    <x:cfRule type="colorScale" priority="1">
      <x:colorScale>
        <x:cfvo type="min"/>
        <x:cfvo type="percentile" val="50"/>
        <x:cfvo type="max"/>
        <x:color rgb="FF63BE7B"/>
        <x:color rgb="FFFFEB84"/>
        <x:color rgb="FFF8696B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8" hidden="0" customWidth="1"/>
  </x:cols>
  <x:sheetData>
    <x:row r="1">
      <x:c r="A1" s="53" t="str">
        <x:v>Контроль качества модели</x:v>
      </x:c>
      <x:c r="B1" s="53"/>
      <x:c r="C1" s="53"/>
      <x:c r="D1" s="53"/>
      <x:c r="E1" s="53"/>
      <x:c r="F1" s="53"/>
      <x:c r="G1" s="53"/>
      <x:c r="H1" s="57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>
      <x:c r="A2" s="53"/>
      <x:c r="B2" s="53"/>
      <x:c r="C2" s="53"/>
      <x:c r="D2" s="53"/>
      <x:c r="E2" s="53"/>
      <x:c r="F2" s="53"/>
      <x:c r="G2" s="53"/>
      <x:c r="H2" s="57"/>
      <x:c r="I2" s="57"/>
      <x:c r="J2" s="57"/>
      <x:c r="K2" s="57"/>
      <x:c r="L2" s="57"/>
      <x:c r="M2" s="57"/>
      <x:c r="N2" s="57"/>
      <x:c r="O2" s="57"/>
      <x:c r="P2" s="57"/>
      <x:c r="Q2" s="57"/>
      <x:c r="R2" s="57"/>
      <x:c r="S2" s="57"/>
      <x:c r="T2" s="57"/>
      <x:c r="U2" s="57"/>
      <x:c r="V2" s="57"/>
      <x:c r="W2" s="57"/>
      <x:c r="X2" s="57"/>
      <x:c r="Y2" s="57"/>
      <x:c r="Z2" s="57"/>
    </x:row>
    <x:row r="3">
      <x:c r="A3" s="54" t="str">
        <x:v>Автоматические проверки исходных ставок, проектного бюджета и денежных потоков.</x:v>
      </x:c>
      <x:c r="B3" s="54"/>
      <x:c r="C3" s="54"/>
      <x:c r="D3" s="54"/>
      <x:c r="E3" s="54"/>
      <x:c r="F3" s="54"/>
      <x:c r="G3" s="54"/>
      <x:c r="H3" s="57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</x:row>
    <x:row r="4">
      <x:c r="A4" s="57"/>
      <x:c r="B4" s="57"/>
      <x:c r="C4" s="57"/>
      <x:c r="D4" s="57"/>
      <x:c r="E4" s="57"/>
      <x:c r="F4" s="57"/>
      <x:c r="G4" s="57"/>
      <x:c r="H4" s="57"/>
      <x:c r="I4" s="57"/>
      <x:c r="J4" s="57"/>
      <x:c r="K4" s="57"/>
      <x:c r="L4" s="57"/>
      <x:c r="M4" s="57"/>
      <x:c r="N4" s="57"/>
      <x:c r="O4" s="57"/>
      <x:c r="P4" s="57"/>
      <x:c r="Q4" s="57"/>
      <x:c r="R4" s="57"/>
      <x:c r="S4" s="57"/>
      <x:c r="T4" s="57"/>
      <x:c r="U4" s="57"/>
      <x:c r="V4" s="57"/>
      <x:c r="W4" s="57"/>
      <x:c r="X4" s="57"/>
      <x:c r="Y4" s="57"/>
      <x:c r="Z4" s="57"/>
    </x:row>
    <x:row r="5">
      <x:c r="A5" s="321" t="str">
        <x:v>Статус модели</x:v>
      </x:c>
      <x:c r="B5" s="321" t="str">
        <x:f>IF(COUNTIF(F8:F17,"ОШИБКА")=0,"PASS","FAIL")</x:f>
        <x:v>PASS</x:v>
      </x:c>
      <x:c r="C5" s="57"/>
      <x:c r="D5" s="57"/>
      <x:c r="E5" s="57"/>
      <x:c r="F5" s="57"/>
      <x:c r="G5" s="57"/>
      <x:c r="H5" s="57"/>
      <x:c r="I5" s="57"/>
      <x:c r="J5" s="57"/>
      <x:c r="K5" s="57"/>
      <x:c r="L5" s="57"/>
      <x:c r="M5" s="57"/>
      <x:c r="N5" s="57"/>
      <x:c r="O5" s="57"/>
      <x:c r="P5" s="57"/>
      <x:c r="Q5" s="57"/>
      <x:c r="R5" s="57"/>
      <x:c r="S5" s="57"/>
      <x:c r="T5" s="57"/>
      <x:c r="U5" s="57"/>
      <x:c r="V5" s="57"/>
      <x:c r="W5" s="57"/>
      <x:c r="X5" s="57"/>
      <x:c r="Y5" s="57"/>
      <x:c r="Z5" s="57"/>
    </x:row>
    <x:row r="6">
      <x:c r="A6" s="57"/>
      <x:c r="B6" s="57"/>
      <x:c r="C6" s="57"/>
      <x:c r="D6" s="57"/>
      <x:c r="E6" s="57"/>
      <x:c r="F6" s="57"/>
      <x:c r="G6" s="57"/>
      <x:c r="H6" s="57"/>
      <x:c r="I6" s="57"/>
      <x:c r="J6" s="57"/>
      <x:c r="K6" s="57"/>
      <x:c r="L6" s="57"/>
      <x:c r="M6" s="57"/>
      <x:c r="N6" s="57"/>
      <x:c r="O6" s="57"/>
      <x:c r="P6" s="57"/>
      <x:c r="Q6" s="57"/>
      <x:c r="R6" s="57"/>
      <x:c r="S6" s="57"/>
      <x:c r="T6" s="57"/>
      <x:c r="U6" s="57"/>
      <x:c r="V6" s="57"/>
      <x:c r="W6" s="57"/>
      <x:c r="X6" s="57"/>
      <x:c r="Y6" s="57"/>
      <x:c r="Z6" s="57"/>
    </x:row>
    <x:row r="7">
      <x:c r="A7" s="60" t="str">
        <x:v>Проверка</x:v>
      </x:c>
      <x:c r="B7" s="60" t="str">
        <x:v>Факт</x:v>
      </x:c>
      <x:c r="C7" s="60" t="str">
        <x:v>Ожидание</x:v>
      </x:c>
      <x:c r="D7" s="60" t="str">
        <x:v>Отклонение</x:v>
      </x:c>
      <x:c r="E7" s="60" t="str">
        <x:v>Допуск</x:v>
      </x:c>
      <x:c r="F7" s="60" t="str">
        <x:v>Статус</x:v>
      </x:c>
      <x:c r="G7" s="60" t="str">
        <x:v>Что делать при ошибке</x:v>
      </x:c>
      <x:c r="H7" s="57"/>
      <x:c r="I7" s="57"/>
      <x:c r="J7" s="57"/>
      <x:c r="K7" s="57"/>
      <x:c r="L7" s="57"/>
      <x:c r="M7" s="57"/>
      <x:c r="N7" s="57"/>
      <x:c r="O7" s="57"/>
      <x:c r="P7" s="57"/>
      <x:c r="Q7" s="57"/>
      <x:c r="R7" s="57"/>
      <x:c r="S7" s="57"/>
      <x:c r="T7" s="57"/>
      <x:c r="U7" s="57"/>
      <x:c r="V7" s="57"/>
      <x:c r="W7" s="57"/>
      <x:c r="X7" s="57"/>
      <x:c r="Y7" s="57"/>
      <x:c r="Z7" s="57"/>
    </x:row>
    <x:row r="8">
      <x:c r="A8" s="226" t="str">
        <x:v>Ставка поддержки / оператора</x:v>
      </x:c>
      <x:c r="B8" s="322" t="n">
        <x:f>'Допущения'!$C$9</x:f>
        <x:v>2000</x:v>
      </x:c>
      <x:c r="C8" s="322" t="n">
        <x:v>2000</x:v>
      </x:c>
      <x:c r="D8" s="322" t="n">
        <x:f>B8-C8</x:f>
        <x:v>0</x:v>
      </x:c>
      <x:c r="E8" s="322" t="n">
        <x:v>0.01</x:v>
      </x:c>
      <x:c r="F8" s="226" t="str">
        <x:f>IF(ABS(D8)&lt;=E8,"OK","ОШИБКА")</x:f>
        <x:v>OK</x:v>
      </x:c>
      <x:c r="G8" s="226" t="str">
        <x:v>Вернуть ставку 2 000 ₽/ч</x:v>
      </x:c>
      <x:c r="H8" s="57"/>
      <x:c r="I8" s="57"/>
      <x:c r="J8" s="57"/>
      <x:c r="K8" s="57"/>
      <x:c r="L8" s="57"/>
      <x:c r="M8" s="57"/>
      <x:c r="N8" s="57"/>
      <x:c r="O8" s="57"/>
      <x:c r="P8" s="57"/>
      <x:c r="Q8" s="57"/>
      <x:c r="R8" s="57"/>
      <x:c r="S8" s="57"/>
      <x:c r="T8" s="57"/>
      <x:c r="U8" s="57"/>
      <x:c r="V8" s="57"/>
      <x:c r="W8" s="57"/>
      <x:c r="X8" s="57"/>
      <x:c r="Y8" s="57"/>
      <x:c r="Z8" s="57"/>
    </x:row>
    <x:row r="9">
      <x:c r="A9" s="226" t="str">
        <x:v>Ставка проектной команды</x:v>
      </x:c>
      <x:c r="B9" s="322" t="n">
        <x:f>'Допущения'!$C$10</x:f>
        <x:v>3500</x:v>
      </x:c>
      <x:c r="C9" s="322" t="n">
        <x:v>3500</x:v>
      </x:c>
      <x:c r="D9" s="322" t="n">
        <x:f>B9-C9</x:f>
        <x:v>0</x:v>
      </x:c>
      <x:c r="E9" s="322" t="n">
        <x:v>0.01</x:v>
      </x:c>
      <x:c r="F9" s="226" t="str">
        <x:f>IF(ABS(D9)&lt;=E9,"OK","ОШИБКА")</x:f>
        <x:v>OK</x:v>
      </x:c>
      <x:c r="G9" s="226" t="str">
        <x:v>Вернуть ставку 3 500 ₽/ч</x:v>
      </x:c>
      <x:c r="H9" s="57"/>
      <x:c r="I9" s="57"/>
      <x:c r="J9" s="57"/>
      <x:c r="K9" s="57"/>
      <x:c r="L9" s="57"/>
      <x:c r="M9" s="57"/>
      <x:c r="N9" s="57"/>
      <x:c r="O9" s="57"/>
      <x:c r="P9" s="57"/>
      <x:c r="Q9" s="57"/>
      <x:c r="R9" s="57"/>
      <x:c r="S9" s="57"/>
      <x:c r="T9" s="57"/>
      <x:c r="U9" s="57"/>
      <x:c r="V9" s="57"/>
      <x:c r="W9" s="57"/>
      <x:c r="X9" s="57"/>
      <x:c r="Y9" s="57"/>
      <x:c r="Z9" s="57"/>
    </x:row>
    <x:row r="10">
      <x:c r="A10" s="226" t="str">
        <x:v>GPU после оптимизации</x:v>
      </x:c>
      <x:c r="B10" s="322" t="n">
        <x:f>'Допущения'!$C$17</x:f>
        <x:v>200000</x:v>
      </x:c>
      <x:c r="C10" s="322" t="n">
        <x:f>MAX(0,'Допущения'!$C$15-'Допущения'!$C$16)</x:f>
        <x:v>200000</x:v>
      </x:c>
      <x:c r="D10" s="322" t="n">
        <x:f>B10-C10</x:f>
        <x:v>0</x:v>
      </x:c>
      <x:c r="E10" s="322" t="n">
        <x:v>0.01</x:v>
      </x:c>
      <x:c r="F10" s="226" t="str">
        <x:f>IF(ABS(D10)&lt;=E10,"OK","ОШИБКА")</x:f>
        <x:v>OK</x:v>
      </x:c>
      <x:c r="G10" s="226" t="str">
        <x:v>Проверить исходную и оптимизированную GPU-смету</x:v>
      </x:c>
      <x:c r="H10" s="57"/>
      <x:c r="I10" s="57"/>
      <x:c r="J10" s="57"/>
      <x:c r="K10" s="57"/>
      <x:c r="L10" s="57"/>
      <x:c r="M10" s="57"/>
      <x:c r="N10" s="57"/>
      <x:c r="O10" s="57"/>
      <x:c r="P10" s="57"/>
      <x:c r="Q10" s="57"/>
      <x:c r="R10" s="57"/>
      <x:c r="S10" s="57"/>
      <x:c r="T10" s="57"/>
      <x:c r="U10" s="57"/>
      <x:c r="V10" s="57"/>
      <x:c r="W10" s="57"/>
      <x:c r="X10" s="57"/>
      <x:c r="Y10" s="57"/>
      <x:c r="Z10" s="57"/>
    </x:row>
    <x:row r="11">
      <x:c r="A11" s="226" t="str">
        <x:v>Первоначальные инвестиции = состав бюджета</x:v>
      </x:c>
      <x:c r="B11" s="322" t="n">
        <x:f>'Сравнение'!$B$39</x:f>
        <x:v>20955000</x:v>
      </x:c>
      <x:c r="C11" s="322" t="n">
        <x:f>SUM('Сравнение'!$B$31:'Сравнение'!$B$32)+'Сравнение'!$B$35+'Сравнение'!$B$36+'Сравнение'!$B$38</x:f>
        <x:v>20955000</x:v>
      </x:c>
      <x:c r="D11" s="322" t="n">
        <x:f>B11-C11</x:f>
        <x:v>0</x:v>
      </x:c>
      <x:c r="E11" s="322" t="n">
        <x:v>0.01</x:v>
      </x:c>
      <x:c r="F11" s="226" t="str">
        <x:f>IF(ABS(D11)&lt;=E11,"OK","ОШИБКА")</x:f>
        <x:v>OK</x:v>
      </x:c>
      <x:c r="G11" s="226" t="str">
        <x:v>Проверить состав первоначальных инвестиций</x:v>
      </x:c>
      <x:c r="H11" s="57"/>
      <x:c r="I11" s="57"/>
      <x:c r="J11" s="57"/>
      <x:c r="K11" s="57"/>
      <x:c r="L11" s="57"/>
      <x:c r="M11" s="57"/>
      <x:c r="N11" s="57"/>
      <x:c r="O11" s="57"/>
      <x:c r="P11" s="57"/>
      <x:c r="Q11" s="57"/>
      <x:c r="R11" s="57"/>
      <x:c r="S11" s="57"/>
      <x:c r="T11" s="57"/>
      <x:c r="U11" s="57"/>
      <x:c r="V11" s="57"/>
      <x:c r="W11" s="57"/>
      <x:c r="X11" s="57"/>
      <x:c r="Y11" s="57"/>
      <x:c r="Z11" s="57"/>
    </x:row>
    <x:row r="12">
      <x:c r="A12" s="226" t="str">
        <x:v>Эксплуатационные расходы = состав OPEX</x:v>
      </x:c>
      <x:c r="B12" s="322" t="n">
        <x:f>'Сравнение'!$B$43</x:f>
        <x:v>1510000</x:v>
      </x:c>
      <x:c r="C12" s="322" t="n">
        <x:f>SUM('Сравнение'!$B$40:'Сравнение'!$B$42)</x:f>
        <x:v>1510000</x:v>
      </x:c>
      <x:c r="D12" s="322" t="n">
        <x:f>B12-C12</x:f>
        <x:v>0</x:v>
      </x:c>
      <x:c r="E12" s="322" t="n">
        <x:v>0.01</x:v>
      </x:c>
      <x:c r="F12" s="226" t="str">
        <x:f>IF(ABS(D12)&lt;=E12,"OK","ОШИБКА")</x:f>
        <x:v>OK</x:v>
      </x:c>
      <x:c r="G12" s="226" t="str">
        <x:v>Проверить ежегодные статьи OPEX</x:v>
      </x:c>
      <x:c r="H12" s="57"/>
      <x:c r="I12" s="57"/>
      <x:c r="J12" s="57"/>
      <x:c r="K12" s="57"/>
      <x:c r="L12" s="57"/>
      <x:c r="M12" s="57"/>
      <x:c r="N12" s="57"/>
      <x:c r="O12" s="57"/>
      <x:c r="P12" s="57"/>
      <x:c r="Q12" s="57"/>
      <x:c r="R12" s="57"/>
      <x:c r="S12" s="57"/>
      <x:c r="T12" s="57"/>
      <x:c r="U12" s="57"/>
      <x:c r="V12" s="57"/>
      <x:c r="W12" s="57"/>
      <x:c r="X12" s="57"/>
      <x:c r="Y12" s="57"/>
      <x:c r="Z12" s="57"/>
    </x:row>
    <x:row r="13">
      <x:c r="A13" s="226" t="str">
        <x:v>Студенты: экономия = сумма эффектов</x:v>
      </x:c>
      <x:c r="B13" s="322" t="n">
        <x:f>'Сравнение'!$D$18</x:f>
        <x:v>28329142.857142854</x:v>
      </x:c>
      <x:c r="C13" s="322" t="n">
        <x:f>'Сравнение'!$D$9+'Сравнение'!$D$13+'Сравнение'!$D$17</x:f>
        <x:v>28329142.85714286</x:v>
      </x:c>
      <x:c r="D13" s="322" t="n">
        <x:f>B13-C13</x:f>
        <x:v>-3.725290298461914e-9</x:v>
      </x:c>
      <x:c r="E13" s="322" t="n">
        <x:v>0.01</x:v>
      </x:c>
      <x:c r="F13" s="226" t="str">
        <x:f>IF(ABS(D13)&lt;=E13,"OK","ОШИБКА")</x:f>
        <x:v>OK</x:v>
      </x:c>
      <x:c r="G13" s="226" t="str">
        <x:v>Проверить формулы трех эффектов студенческого кейса</x:v>
      </x:c>
      <x:c r="H13" s="57"/>
      <x:c r="I13" s="57"/>
      <x:c r="J13" s="57"/>
      <x:c r="K13" s="57"/>
      <x:c r="L13" s="57"/>
      <x:c r="M13" s="57"/>
      <x:c r="N13" s="57"/>
      <x:c r="O13" s="57"/>
      <x:c r="P13" s="57"/>
      <x:c r="Q13" s="57"/>
      <x:c r="R13" s="57"/>
      <x:c r="S13" s="57"/>
      <x:c r="T13" s="57"/>
      <x:c r="U13" s="57"/>
      <x:c r="V13" s="57"/>
      <x:c r="W13" s="57"/>
      <x:c r="X13" s="57"/>
      <x:c r="Y13" s="57"/>
      <x:c r="Z13" s="57"/>
    </x:row>
    <x:row r="14">
      <x:c r="A14" s="226" t="str">
        <x:v>НПЗ: экономия = сумма эффектов</x:v>
      </x:c>
      <x:c r="B14" s="322" t="n">
        <x:f>'Сравнение'!$H$18</x:f>
        <x:v>15234000</x:v>
      </x:c>
      <x:c r="C14" s="322" t="n">
        <x:f>'Сравнение'!$H$9+'Сравнение'!$H$13+'Сравнение'!$H$17</x:f>
        <x:v>15234000</x:v>
      </x:c>
      <x:c r="D14" s="322" t="n">
        <x:f>B14-C14</x:f>
        <x:v>0</x:v>
      </x:c>
      <x:c r="E14" s="322" t="n">
        <x:v>0.01</x:v>
      </x:c>
      <x:c r="F14" s="226" t="str">
        <x:f>IF(ABS(D14)&lt;=E14,"OK","ОШИБКА")</x:f>
        <x:v>OK</x:v>
      </x:c>
      <x:c r="G14" s="226" t="str">
        <x:v>Проверить формулы трех эффектов сценария НПЗ</x:v>
      </x:c>
      <x:c r="H14" s="57"/>
      <x:c r="I14" s="57"/>
      <x:c r="J14" s="57"/>
      <x:c r="K14" s="57"/>
      <x:c r="L14" s="57"/>
      <x:c r="M14" s="57"/>
      <x:c r="N14" s="57"/>
      <x:c r="O14" s="57"/>
      <x:c r="P14" s="57"/>
      <x:c r="Q14" s="57"/>
      <x:c r="R14" s="57"/>
      <x:c r="S14" s="57"/>
      <x:c r="T14" s="57"/>
      <x:c r="U14" s="57"/>
      <x:c r="V14" s="57"/>
      <x:c r="W14" s="57"/>
      <x:c r="X14" s="57"/>
      <x:c r="Y14" s="57"/>
      <x:c r="Z14" s="57"/>
    </x:row>
    <x:row r="15">
      <x:c r="A15" s="226" t="str">
        <x:v>Накопленный поток = выгоды - затраты</x:v>
      </x:c>
      <x:c r="B15" s="322" t="n">
        <x:f>'Денежный поток'!$N$46</x:f>
        <x:v>46092857.14285715</x:v>
      </x:c>
      <x:c r="C15" s="322" t="n">
        <x:f>'Денежный поток'!$M$46-'Денежный поток'!$L$46</x:f>
        <x:v>46092857.14285716</x:v>
      </x:c>
      <x:c r="D15" s="322" t="n">
        <x:f>B15-C15</x:f>
        <x:v>-7.450580596923828e-9</x:v>
      </x:c>
      <x:c r="E15" s="322" t="n">
        <x:v>0.01</x:v>
      </x:c>
      <x:c r="F15" s="226" t="str">
        <x:f>IF(ABS(D15)&lt;=E15,"OK","ОШИБКА")</x:f>
        <x:v>OK</x:v>
      </x:c>
      <x:c r="G15" s="226" t="str">
        <x:v>Проверить последний месяц денежного потока</x:v>
      </x:c>
      <x:c r="H15" s="57"/>
      <x:c r="I15" s="57"/>
      <x:c r="J15" s="57"/>
      <x:c r="K15" s="57"/>
      <x:c r="L15" s="57"/>
      <x:c r="M15" s="57"/>
      <x:c r="N15" s="57"/>
      <x:c r="O15" s="57"/>
      <x:c r="P15" s="57"/>
      <x:c r="Q15" s="57"/>
      <x:c r="R15" s="57"/>
      <x:c r="S15" s="57"/>
      <x:c r="T15" s="57"/>
      <x:c r="U15" s="57"/>
      <x:c r="V15" s="57"/>
      <x:c r="W15" s="57"/>
      <x:c r="X15" s="57"/>
      <x:c r="Y15" s="57"/>
      <x:c r="Z15" s="57"/>
    </x:row>
    <x:row r="16">
      <x:c r="A16" s="226" t="str">
        <x:v>Точка безубыточности в горизонте модели</x:v>
      </x:c>
      <x:c r="B16" s="322" t="n">
        <x:f>'Денежный поток'!$J$5</x:f>
        <x:v>16</x:v>
      </x:c>
      <x:c r="C16" s="322" t="n">
        <x:f>'Допущения'!$C$25</x:f>
        <x:v>36</x:v>
      </x:c>
      <x:c r="D16" s="322" t="n">
        <x:f>IF(AND(B16&gt;=1,B16&lt;=C16),0,B16-C16)</x:f>
        <x:v>0</x:v>
      </x:c>
      <x:c r="E16" s="322" t="n">
        <x:v>0.5</x:v>
      </x:c>
      <x:c r="F16" s="226" t="str">
        <x:f>IF(ABS(D16)&lt;=E16,"OK","ОШИБКА")</x:f>
        <x:v>OK</x:v>
      </x:c>
      <x:c r="G16" s="226" t="str">
        <x:v>Увеличить горизонт модели или уточнить эффект</x:v>
      </x:c>
      <x:c r="H16" s="57"/>
      <x:c r="I16" s="57"/>
      <x:c r="J16" s="57"/>
      <x:c r="K16" s="57"/>
      <x:c r="L16" s="57"/>
      <x:c r="M16" s="57"/>
      <x:c r="N16" s="57"/>
      <x:c r="O16" s="57"/>
      <x:c r="P16" s="57"/>
      <x:c r="Q16" s="57"/>
      <x:c r="R16" s="57"/>
      <x:c r="S16" s="57"/>
      <x:c r="T16" s="57"/>
      <x:c r="U16" s="57"/>
      <x:c r="V16" s="57"/>
      <x:c r="W16" s="57"/>
      <x:c r="X16" s="57"/>
      <x:c r="Y16" s="57"/>
      <x:c r="Z16" s="57"/>
    </x:row>
    <x:row r="17">
      <x:c r="A17" s="226" t="str">
        <x:v>Инфраструктура в заданном диапазоне</x:v>
      </x:c>
      <x:c r="B17" s="322" t="n">
        <x:f>'Допущения'!$C$14</x:f>
        <x:v>1750000</x:v>
      </x:c>
      <x:c r="C17" s="322" t="n">
        <x:f>MIN(MAX(B17,'Допущения'!$G$14),'Допущения'!$H$14)</x:f>
        <x:v>1750000</x:v>
      </x:c>
      <x:c r="D17" s="322" t="n">
        <x:f>B17-C17</x:f>
        <x:v>0</x:v>
      </x:c>
      <x:c r="E17" s="322" t="n">
        <x:v>0.01</x:v>
      </x:c>
      <x:c r="F17" s="226" t="str">
        <x:f>IF(ABS(D17)&lt;=E17,"OK","ОШИБКА")</x:f>
        <x:v>OK</x:v>
      </x:c>
      <x:c r="G17" s="226" t="str">
        <x:v>Вернуть инфраструктуру в диапазон 1,5–2,0 млн ₽</x:v>
      </x:c>
      <x:c r="H17" s="57"/>
      <x:c r="I17" s="57"/>
      <x:c r="J17" s="57"/>
      <x:c r="K17" s="57"/>
      <x:c r="L17" s="57"/>
      <x:c r="M17" s="57"/>
      <x:c r="N17" s="57"/>
      <x:c r="O17" s="57"/>
      <x:c r="P17" s="57"/>
      <x:c r="Q17" s="57"/>
      <x:c r="R17" s="57"/>
      <x:c r="S17" s="57"/>
      <x:c r="T17" s="57"/>
      <x:c r="U17" s="57"/>
      <x:c r="V17" s="57"/>
      <x:c r="W17" s="57"/>
      <x:c r="X17" s="57"/>
      <x:c r="Y17" s="57"/>
      <x:c r="Z17" s="57"/>
    </x:row>
    <x:row r="18">
      <x:c r="A18" s="57"/>
      <x:c r="B18" s="57"/>
      <x:c r="C18" s="57"/>
      <x:c r="D18" s="57"/>
      <x:c r="E18" s="57"/>
      <x:c r="F18" s="57"/>
      <x:c r="G18" s="57"/>
      <x:c r="H18" s="57"/>
      <x:c r="I18" s="57"/>
      <x:c r="J18" s="57"/>
      <x:c r="K18" s="57"/>
      <x:c r="L18" s="57"/>
      <x:c r="M18" s="57"/>
      <x:c r="N18" s="57"/>
      <x:c r="O18" s="57"/>
      <x:c r="P18" s="57"/>
      <x:c r="Q18" s="57"/>
      <x:c r="R18" s="57"/>
      <x:c r="S18" s="57"/>
      <x:c r="T18" s="57"/>
      <x:c r="U18" s="57"/>
      <x:c r="V18" s="57"/>
      <x:c r="W18" s="57"/>
      <x:c r="X18" s="57"/>
      <x:c r="Y18" s="57"/>
      <x:c r="Z18" s="57"/>
    </x:row>
    <x:row r="19">
      <x:c r="A19" s="57"/>
      <x:c r="B19" s="57"/>
      <x:c r="C19" s="57"/>
      <x:c r="D19" s="57"/>
      <x:c r="E19" s="57"/>
      <x:c r="F19" s="57"/>
      <x:c r="G19" s="57"/>
      <x:c r="H19" s="57"/>
      <x:c r="I19" s="57"/>
      <x:c r="J19" s="57"/>
      <x:c r="K19" s="57"/>
      <x:c r="L19" s="57"/>
      <x:c r="M19" s="57"/>
      <x:c r="N19" s="57"/>
      <x:c r="O19" s="57"/>
      <x:c r="P19" s="57"/>
      <x:c r="Q19" s="57"/>
      <x:c r="R19" s="57"/>
      <x:c r="S19" s="57"/>
      <x:c r="T19" s="57"/>
      <x:c r="U19" s="57"/>
      <x:c r="V19" s="57"/>
      <x:c r="W19" s="57"/>
      <x:c r="X19" s="57"/>
      <x:c r="Y19" s="57"/>
      <x:c r="Z19" s="57"/>
    </x:row>
    <x:row r="20">
      <x:c r="A20" s="57"/>
      <x:c r="B20" s="57"/>
      <x:c r="C20" s="57"/>
      <x:c r="D20" s="57"/>
      <x:c r="E20" s="57"/>
      <x:c r="F20" s="57"/>
      <x:c r="G20" s="57"/>
      <x:c r="H20" s="57"/>
      <x:c r="I20" s="57"/>
      <x:c r="J20" s="57"/>
      <x:c r="K20" s="57"/>
      <x:c r="L20" s="57"/>
      <x:c r="M20" s="57"/>
      <x:c r="N20" s="57"/>
      <x:c r="O20" s="57"/>
      <x:c r="P20" s="57"/>
      <x:c r="Q20" s="57"/>
      <x:c r="R20" s="57"/>
      <x:c r="S20" s="57"/>
      <x:c r="T20" s="57"/>
      <x:c r="U20" s="57"/>
      <x:c r="V20" s="57"/>
      <x:c r="W20" s="57"/>
      <x:c r="X20" s="57"/>
      <x:c r="Y20" s="57"/>
      <x:c r="Z20" s="57"/>
    </x:row>
    <x:row r="21">
      <x:c r="A21" s="57"/>
      <x:c r="B21" s="57"/>
      <x:c r="C21" s="57"/>
      <x:c r="D21" s="57"/>
      <x:c r="E21" s="57"/>
      <x:c r="F21" s="57"/>
      <x:c r="G21" s="57"/>
      <x:c r="H21" s="57"/>
      <x:c r="I21" s="57"/>
      <x:c r="J21" s="57"/>
      <x:c r="K21" s="57"/>
      <x:c r="L21" s="57"/>
      <x:c r="M21" s="57"/>
      <x:c r="N21" s="57"/>
      <x:c r="O21" s="57"/>
      <x:c r="P21" s="57"/>
      <x:c r="Q21" s="57"/>
      <x:c r="R21" s="57"/>
      <x:c r="S21" s="57"/>
      <x:c r="T21" s="57"/>
      <x:c r="U21" s="57"/>
      <x:c r="V21" s="57"/>
      <x:c r="W21" s="57"/>
      <x:c r="X21" s="57"/>
      <x:c r="Y21" s="57"/>
      <x:c r="Z21" s="57"/>
    </x:row>
    <x:row r="22">
      <x:c r="A22" s="57"/>
      <x:c r="B22" s="57"/>
      <x:c r="C22" s="57"/>
      <x:c r="D22" s="57"/>
      <x:c r="E22" s="57"/>
      <x:c r="F22" s="57"/>
      <x:c r="G22" s="57"/>
      <x:c r="H22" s="57"/>
      <x:c r="I22" s="57"/>
      <x:c r="J22" s="57"/>
      <x:c r="K22" s="57"/>
      <x:c r="L22" s="57"/>
      <x:c r="M22" s="57"/>
      <x:c r="N22" s="57"/>
      <x:c r="O22" s="57"/>
      <x:c r="P22" s="57"/>
      <x:c r="Q22" s="57"/>
      <x:c r="R22" s="57"/>
      <x:c r="S22" s="57"/>
      <x:c r="T22" s="57"/>
      <x:c r="U22" s="57"/>
      <x:c r="V22" s="57"/>
      <x:c r="W22" s="57"/>
      <x:c r="X22" s="57"/>
      <x:c r="Y22" s="57"/>
      <x:c r="Z22" s="57"/>
    </x:row>
    <x:row r="23">
      <x:c r="A23" s="57"/>
      <x:c r="B23" s="57"/>
      <x:c r="C23" s="57"/>
      <x:c r="D23" s="57"/>
      <x:c r="E23" s="57"/>
      <x:c r="F23" s="57"/>
      <x:c r="G23" s="57"/>
      <x:c r="H23" s="57"/>
      <x:c r="I23" s="57"/>
      <x:c r="J23" s="57"/>
      <x:c r="K23" s="57"/>
      <x:c r="L23" s="57"/>
      <x:c r="M23" s="57"/>
      <x:c r="N23" s="57"/>
      <x:c r="O23" s="57"/>
      <x:c r="P23" s="57"/>
      <x:c r="Q23" s="57"/>
      <x:c r="R23" s="57"/>
      <x:c r="S23" s="57"/>
      <x:c r="T23" s="57"/>
      <x:c r="U23" s="57"/>
      <x:c r="V23" s="57"/>
      <x:c r="W23" s="57"/>
      <x:c r="X23" s="57"/>
      <x:c r="Y23" s="57"/>
      <x:c r="Z23" s="57"/>
    </x:row>
    <x:row r="24">
      <x:c r="A24" s="57"/>
      <x:c r="B24" s="57"/>
      <x:c r="C24" s="57"/>
      <x:c r="D24" s="57"/>
      <x:c r="E24" s="57"/>
      <x:c r="F24" s="57"/>
      <x:c r="G24" s="57"/>
      <x:c r="H24" s="57"/>
      <x:c r="I24" s="57"/>
      <x:c r="J24" s="57"/>
      <x:c r="K24" s="57"/>
      <x:c r="L24" s="57"/>
      <x:c r="M24" s="57"/>
      <x:c r="N24" s="57"/>
      <x:c r="O24" s="57"/>
      <x:c r="P24" s="57"/>
      <x:c r="Q24" s="57"/>
      <x:c r="R24" s="57"/>
      <x:c r="S24" s="57"/>
      <x:c r="T24" s="57"/>
      <x:c r="U24" s="57"/>
      <x:c r="V24" s="57"/>
      <x:c r="W24" s="57"/>
      <x:c r="X24" s="57"/>
      <x:c r="Y24" s="57"/>
      <x:c r="Z24" s="57"/>
    </x:row>
    <x:row r="25">
      <x:c r="A25" s="57"/>
      <x:c r="B25" s="57"/>
      <x:c r="C25" s="57"/>
      <x:c r="D25" s="57"/>
      <x:c r="E25" s="57"/>
      <x:c r="F25" s="57"/>
      <x:c r="G25" s="57"/>
      <x:c r="H25" s="57"/>
      <x:c r="I25" s="57"/>
      <x:c r="J25" s="57"/>
      <x:c r="K25" s="57"/>
      <x:c r="L25" s="57"/>
      <x:c r="M25" s="57"/>
      <x:c r="N25" s="57"/>
      <x:c r="O25" s="57"/>
      <x:c r="P25" s="57"/>
      <x:c r="Q25" s="57"/>
      <x:c r="R25" s="57"/>
      <x:c r="S25" s="57"/>
      <x:c r="T25" s="57"/>
      <x:c r="U25" s="57"/>
      <x:c r="V25" s="57"/>
      <x:c r="W25" s="57"/>
      <x:c r="X25" s="57"/>
      <x:c r="Y25" s="57"/>
      <x:c r="Z25" s="57"/>
    </x:row>
    <x:row r="26">
      <x:c r="A26" s="57"/>
      <x:c r="B26" s="57"/>
      <x:c r="C26" s="57"/>
      <x:c r="D26" s="57"/>
      <x:c r="E26" s="57"/>
      <x:c r="F26" s="57"/>
      <x:c r="G26" s="57"/>
      <x:c r="H26" s="57"/>
      <x:c r="I26" s="57"/>
      <x:c r="J26" s="57"/>
      <x:c r="K26" s="57"/>
      <x:c r="L26" s="57"/>
      <x:c r="M26" s="57"/>
      <x:c r="N26" s="57"/>
      <x:c r="O26" s="57"/>
      <x:c r="P26" s="57"/>
      <x:c r="Q26" s="57"/>
      <x:c r="R26" s="57"/>
      <x:c r="S26" s="57"/>
      <x:c r="T26" s="57"/>
      <x:c r="U26" s="57"/>
      <x:c r="V26" s="57"/>
      <x:c r="W26" s="57"/>
      <x:c r="X26" s="57"/>
      <x:c r="Y26" s="57"/>
      <x:c r="Z26" s="57"/>
    </x:row>
    <x:row r="27">
      <x:c r="A27" s="57"/>
      <x:c r="B27" s="57"/>
      <x:c r="C27" s="57"/>
      <x:c r="D27" s="57"/>
      <x:c r="E27" s="57"/>
      <x:c r="F27" s="57"/>
      <x:c r="G27" s="57"/>
      <x:c r="H27" s="57"/>
      <x:c r="I27" s="57"/>
      <x:c r="J27" s="57"/>
      <x:c r="K27" s="57"/>
      <x:c r="L27" s="57"/>
      <x:c r="M27" s="57"/>
      <x:c r="N27" s="57"/>
      <x:c r="O27" s="57"/>
      <x:c r="P27" s="57"/>
      <x:c r="Q27" s="57"/>
      <x:c r="R27" s="57"/>
      <x:c r="S27" s="57"/>
      <x:c r="T27" s="57"/>
      <x:c r="U27" s="57"/>
      <x:c r="V27" s="57"/>
      <x:c r="W27" s="57"/>
      <x:c r="X27" s="57"/>
      <x:c r="Y27" s="57"/>
      <x:c r="Z27" s="57"/>
    </x:row>
    <x:row r="28">
      <x:c r="A28" s="57"/>
      <x:c r="B28" s="57"/>
      <x:c r="C28" s="57"/>
      <x:c r="D28" s="57"/>
      <x:c r="E28" s="57"/>
      <x:c r="F28" s="57"/>
      <x:c r="G28" s="57"/>
      <x:c r="H28" s="57"/>
      <x:c r="I28" s="57"/>
      <x:c r="J28" s="57"/>
      <x:c r="K28" s="57"/>
      <x:c r="L28" s="57"/>
      <x:c r="M28" s="57"/>
      <x:c r="N28" s="57"/>
      <x:c r="O28" s="57"/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>
      <x:c r="A29" s="57"/>
      <x:c r="B29" s="57"/>
      <x:c r="C29" s="57"/>
      <x:c r="D29" s="57"/>
      <x:c r="E29" s="57"/>
      <x:c r="F29" s="57"/>
      <x:c r="G29" s="57"/>
      <x:c r="H29" s="57"/>
      <x:c r="I29" s="57"/>
      <x:c r="J29" s="57"/>
      <x:c r="K29" s="57"/>
      <x:c r="L29" s="57"/>
      <x:c r="M29" s="57"/>
      <x:c r="N29" s="57"/>
      <x:c r="O29" s="57"/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>
      <x:c r="A30" s="57"/>
      <x:c r="B30" s="57"/>
      <x:c r="C30" s="57"/>
      <x:c r="D30" s="57"/>
      <x:c r="E30" s="57"/>
      <x:c r="F30" s="57"/>
      <x:c r="G30" s="57"/>
      <x:c r="H30" s="57"/>
      <x:c r="I30" s="57"/>
      <x:c r="J30" s="57"/>
      <x:c r="K30" s="57"/>
      <x:c r="L30" s="57"/>
      <x:c r="M30" s="57"/>
      <x:c r="N30" s="57"/>
      <x:c r="O30" s="57"/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>
      <x:c r="A31" s="57"/>
      <x:c r="B31" s="57"/>
      <x:c r="C31" s="57"/>
      <x:c r="D31" s="57"/>
      <x:c r="E31" s="57"/>
      <x:c r="F31" s="57"/>
      <x:c r="G31" s="57"/>
      <x:c r="H31" s="57"/>
      <x:c r="I31" s="57"/>
      <x:c r="J31" s="57"/>
      <x:c r="K31" s="57"/>
      <x:c r="L31" s="57"/>
      <x:c r="M31" s="57"/>
      <x:c r="N31" s="57"/>
      <x:c r="O31" s="57"/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>
      <x:c r="A32" s="57"/>
      <x:c r="B32" s="57"/>
      <x:c r="C32" s="57"/>
      <x:c r="D32" s="57"/>
      <x:c r="E32" s="57"/>
      <x:c r="F32" s="57"/>
      <x:c r="G32" s="57"/>
      <x:c r="H32" s="57"/>
      <x:c r="I32" s="57"/>
      <x:c r="J32" s="57"/>
      <x:c r="K32" s="57"/>
      <x:c r="L32" s="57"/>
      <x:c r="M32" s="57"/>
      <x:c r="N32" s="57"/>
      <x:c r="O32" s="57"/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>
      <x:c r="A33" s="57"/>
      <x:c r="B33" s="57"/>
      <x:c r="C33" s="57"/>
      <x:c r="D33" s="57"/>
      <x:c r="E33" s="57"/>
      <x:c r="F33" s="57"/>
      <x:c r="G33" s="57"/>
      <x:c r="H33" s="57"/>
      <x:c r="I33" s="57"/>
      <x:c r="J33" s="57"/>
      <x:c r="K33" s="57"/>
      <x:c r="L33" s="57"/>
      <x:c r="M33" s="57"/>
      <x:c r="N33" s="57"/>
      <x:c r="O33" s="57"/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>
      <x:c r="A34" s="57"/>
      <x:c r="B34" s="57"/>
      <x:c r="C34" s="57"/>
      <x:c r="D34" s="57"/>
      <x:c r="E34" s="57"/>
      <x:c r="F34" s="57"/>
      <x:c r="G34" s="57"/>
      <x:c r="H34" s="57"/>
      <x:c r="I34" s="57"/>
      <x:c r="J34" s="57"/>
      <x:c r="K34" s="57"/>
      <x:c r="L34" s="57"/>
      <x:c r="M34" s="57"/>
      <x:c r="N34" s="57"/>
      <x:c r="O34" s="57"/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>
      <x:c r="A35" s="57"/>
      <x:c r="B35" s="57"/>
      <x:c r="C35" s="57"/>
      <x:c r="D35" s="57"/>
      <x:c r="E35" s="57"/>
      <x:c r="F35" s="57"/>
      <x:c r="G35" s="57"/>
      <x:c r="H35" s="57"/>
      <x:c r="I35" s="57"/>
      <x:c r="J35" s="57"/>
      <x:c r="K35" s="57"/>
      <x:c r="L35" s="57"/>
      <x:c r="M35" s="57"/>
      <x:c r="N35" s="57"/>
      <x:c r="O35" s="57"/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>
      <x:c r="A36" s="57"/>
      <x:c r="B36" s="57"/>
      <x:c r="C36" s="57"/>
      <x:c r="D36" s="57"/>
      <x:c r="E36" s="57"/>
      <x:c r="F36" s="57"/>
      <x:c r="G36" s="57"/>
      <x:c r="H36" s="57"/>
      <x:c r="I36" s="57"/>
      <x:c r="J36" s="57"/>
      <x:c r="K36" s="57"/>
      <x:c r="L36" s="57"/>
      <x:c r="M36" s="57"/>
      <x:c r="N36" s="57"/>
      <x:c r="O36" s="57"/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>
      <x:c r="A37" s="57"/>
      <x:c r="B37" s="57"/>
      <x:c r="C37" s="57"/>
      <x:c r="D37" s="57"/>
      <x:c r="E37" s="57"/>
      <x:c r="F37" s="57"/>
      <x:c r="G37" s="57"/>
      <x:c r="H37" s="57"/>
      <x:c r="I37" s="57"/>
      <x:c r="J37" s="57"/>
      <x:c r="K37" s="57"/>
      <x:c r="L37" s="57"/>
      <x:c r="M37" s="57"/>
      <x:c r="N37" s="57"/>
      <x:c r="O37" s="57"/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>
      <x:c r="A38" s="57"/>
      <x:c r="B38" s="57"/>
      <x:c r="C38" s="57"/>
      <x:c r="D38" s="57"/>
      <x:c r="E38" s="57"/>
      <x:c r="F38" s="57"/>
      <x:c r="G38" s="57"/>
      <x:c r="H38" s="57"/>
      <x:c r="I38" s="57"/>
      <x:c r="J38" s="57"/>
      <x:c r="K38" s="57"/>
      <x:c r="L38" s="57"/>
      <x:c r="M38" s="57"/>
      <x:c r="N38" s="57"/>
      <x:c r="O38" s="57"/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>
      <x:c r="A39" s="57"/>
      <x:c r="B39" s="57"/>
      <x:c r="C39" s="57"/>
      <x:c r="D39" s="57"/>
      <x:c r="E39" s="57"/>
      <x:c r="F39" s="57"/>
      <x:c r="G39" s="57"/>
      <x:c r="H39" s="57"/>
      <x:c r="I39" s="57"/>
      <x:c r="J39" s="57"/>
      <x:c r="K39" s="57"/>
      <x:c r="L39" s="57"/>
      <x:c r="M39" s="57"/>
      <x:c r="N39" s="57"/>
      <x:c r="O39" s="57"/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>
      <x:c r="A40" s="57"/>
      <x:c r="B40" s="57"/>
      <x:c r="C40" s="57"/>
      <x:c r="D40" s="57"/>
      <x:c r="E40" s="57"/>
      <x:c r="F40" s="57"/>
      <x:c r="G40" s="57"/>
      <x:c r="H40" s="57"/>
      <x:c r="I40" s="57"/>
      <x:c r="J40" s="57"/>
      <x:c r="K40" s="57"/>
      <x:c r="L40" s="57"/>
      <x:c r="M40" s="57"/>
      <x:c r="N40" s="57"/>
      <x:c r="O40" s="57"/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>
      <x:c r="A41" s="57"/>
      <x:c r="B41" s="57"/>
      <x:c r="C41" s="57"/>
      <x:c r="D41" s="57"/>
      <x:c r="E41" s="57"/>
      <x:c r="F41" s="57"/>
      <x:c r="G41" s="57"/>
      <x:c r="H41" s="57"/>
      <x:c r="I41" s="57"/>
      <x:c r="J41" s="57"/>
      <x:c r="K41" s="57"/>
      <x:c r="L41" s="57"/>
      <x:c r="M41" s="57"/>
      <x:c r="N41" s="57"/>
      <x:c r="O41" s="57"/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>
      <x:c r="A42" s="57"/>
      <x:c r="B42" s="57"/>
      <x:c r="C42" s="57"/>
      <x:c r="D42" s="57"/>
      <x:c r="E42" s="57"/>
      <x:c r="F42" s="57"/>
      <x:c r="G42" s="57"/>
      <x:c r="H42" s="57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>
      <x:c r="A43" s="57"/>
      <x:c r="B43" s="57"/>
      <x:c r="C43" s="57"/>
      <x:c r="D43" s="57"/>
      <x:c r="E43" s="57"/>
      <x:c r="F43" s="57"/>
      <x:c r="G43" s="57"/>
      <x:c r="H43" s="57"/>
      <x:c r="I43" s="57"/>
      <x:c r="J43" s="57"/>
      <x:c r="K43" s="57"/>
      <x:c r="L43" s="57"/>
      <x:c r="M43" s="57"/>
      <x:c r="N43" s="57"/>
      <x:c r="O43" s="57"/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>
      <x:c r="A44" s="57"/>
      <x:c r="B44" s="57"/>
      <x:c r="C44" s="57"/>
      <x:c r="D44" s="57"/>
      <x:c r="E44" s="57"/>
      <x:c r="F44" s="57"/>
      <x:c r="G44" s="57"/>
      <x:c r="H44" s="57"/>
      <x:c r="I44" s="57"/>
      <x:c r="J44" s="57"/>
      <x:c r="K44" s="57"/>
      <x:c r="L44" s="57"/>
      <x:c r="M44" s="57"/>
      <x:c r="N44" s="57"/>
      <x:c r="O44" s="57"/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>
      <x:c r="A45" s="57"/>
      <x:c r="B45" s="57"/>
      <x:c r="C45" s="57"/>
      <x:c r="D45" s="57"/>
      <x:c r="E45" s="57"/>
      <x:c r="F45" s="57"/>
      <x:c r="G45" s="57"/>
      <x:c r="H45" s="57"/>
      <x:c r="I45" s="57"/>
      <x:c r="J45" s="57"/>
      <x:c r="K45" s="57"/>
      <x:c r="L45" s="57"/>
      <x:c r="M45" s="57"/>
      <x:c r="N45" s="57"/>
      <x:c r="O45" s="57"/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>
      <x:c r="A46" s="57"/>
      <x:c r="B46" s="57"/>
      <x:c r="C46" s="57"/>
      <x:c r="D46" s="57"/>
      <x:c r="E46" s="57"/>
      <x:c r="F46" s="57"/>
      <x:c r="G46" s="57"/>
      <x:c r="H46" s="57"/>
      <x:c r="I46" s="57"/>
      <x:c r="J46" s="57"/>
      <x:c r="K46" s="57"/>
      <x:c r="L46" s="57"/>
      <x:c r="M46" s="57"/>
      <x:c r="N46" s="57"/>
      <x:c r="O46" s="57"/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>
      <x:c r="A47" s="57"/>
      <x:c r="B47" s="57"/>
      <x:c r="C47" s="57"/>
      <x:c r="D47" s="57"/>
      <x:c r="E47" s="57"/>
      <x:c r="F47" s="57"/>
      <x:c r="G47" s="57"/>
      <x:c r="H47" s="57"/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>
      <x:c r="A48" s="57"/>
      <x:c r="B48" s="57"/>
      <x:c r="C48" s="57"/>
      <x:c r="D48" s="57"/>
      <x:c r="E48" s="57"/>
      <x:c r="F48" s="57"/>
      <x:c r="G48" s="57"/>
      <x:c r="H48" s="57"/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>
      <x:c r="A49" s="57"/>
      <x:c r="B49" s="57"/>
      <x:c r="C49" s="57"/>
      <x:c r="D49" s="57"/>
      <x:c r="E49" s="57"/>
      <x:c r="F49" s="57"/>
      <x:c r="G49" s="57"/>
      <x:c r="H49" s="57"/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>
      <x:c r="A50" s="57"/>
      <x:c r="B50" s="57"/>
      <x:c r="C50" s="57"/>
      <x:c r="D50" s="57"/>
      <x:c r="E50" s="57"/>
      <x:c r="F50" s="57"/>
      <x:c r="G50" s="57"/>
      <x:c r="H50" s="57"/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>
      <x:c r="A51" s="57"/>
      <x:c r="B51" s="57"/>
      <x:c r="C51" s="57"/>
      <x:c r="D51" s="57"/>
      <x:c r="E51" s="57"/>
      <x:c r="F51" s="57"/>
      <x:c r="G51" s="57"/>
      <x:c r="H51" s="57"/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>
      <x:c r="A52" s="57"/>
      <x:c r="B52" s="57"/>
      <x:c r="C52" s="57"/>
      <x:c r="D52" s="57"/>
      <x:c r="E52" s="57"/>
      <x:c r="F52" s="57"/>
      <x:c r="G52" s="57"/>
      <x:c r="H52" s="57"/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>
      <x:c r="A53" s="57"/>
      <x:c r="B53" s="57"/>
      <x:c r="C53" s="57"/>
      <x:c r="D53" s="57"/>
      <x:c r="E53" s="57"/>
      <x:c r="F53" s="57"/>
      <x:c r="G53" s="57"/>
      <x:c r="H53" s="57"/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>
      <x:c r="A54" s="57"/>
      <x:c r="B54" s="57"/>
      <x:c r="C54" s="57"/>
      <x:c r="D54" s="57"/>
      <x:c r="E54" s="57"/>
      <x:c r="F54" s="57"/>
      <x:c r="G54" s="57"/>
      <x:c r="H54" s="57"/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>
      <x:c r="A55" s="57"/>
      <x:c r="B55" s="57"/>
      <x:c r="C55" s="57"/>
      <x:c r="D55" s="57"/>
      <x:c r="E55" s="57"/>
      <x:c r="F55" s="57"/>
      <x:c r="G55" s="57"/>
      <x:c r="H55" s="57"/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>
      <x:c r="A56" s="57"/>
      <x:c r="B56" s="57"/>
      <x:c r="C56" s="57"/>
      <x:c r="D56" s="57"/>
      <x:c r="E56" s="57"/>
      <x:c r="F56" s="57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>
      <x:c r="A57" s="57"/>
      <x:c r="B57" s="57"/>
      <x:c r="C57" s="57"/>
      <x:c r="D57" s="57"/>
      <x:c r="E57" s="57"/>
      <x:c r="F57" s="57"/>
      <x:c r="G57" s="57"/>
      <x:c r="H57" s="57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>
      <x:c r="A58" s="57"/>
      <x:c r="B58" s="57"/>
      <x:c r="C58" s="57"/>
      <x:c r="D58" s="57"/>
      <x:c r="E58" s="57"/>
      <x:c r="F58" s="57"/>
      <x:c r="G58" s="57"/>
      <x:c r="H58" s="57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>
      <x:c r="A59" s="57"/>
      <x:c r="B59" s="57"/>
      <x:c r="C59" s="57"/>
      <x:c r="D59" s="57"/>
      <x:c r="E59" s="57"/>
      <x:c r="F59" s="57"/>
      <x:c r="G59" s="57"/>
      <x:c r="H59" s="57"/>
      <x:c r="I59" s="57"/>
      <x:c r="J59" s="57"/>
      <x:c r="K59" s="57"/>
      <x:c r="L59" s="57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>
      <x:c r="A60" s="57"/>
      <x:c r="B60" s="57"/>
      <x:c r="C60" s="57"/>
      <x:c r="D60" s="57"/>
      <x:c r="E60" s="57"/>
      <x:c r="F60" s="57"/>
      <x:c r="G60" s="57"/>
      <x:c r="H60" s="57"/>
      <x:c r="I60" s="57"/>
      <x:c r="J60" s="57"/>
      <x:c r="K60" s="57"/>
      <x:c r="L60" s="57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>
      <x:c r="A61" s="57"/>
      <x:c r="B61" s="57"/>
      <x:c r="C61" s="57"/>
      <x:c r="D61" s="57"/>
      <x:c r="E61" s="57"/>
      <x:c r="F61" s="57"/>
      <x:c r="G61" s="57"/>
      <x:c r="H61" s="57"/>
      <x:c r="I61" s="57"/>
      <x:c r="J61" s="57"/>
      <x:c r="K61" s="57"/>
      <x:c r="L61" s="57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>
      <x:c r="A62" s="57"/>
      <x:c r="B62" s="57"/>
      <x:c r="C62" s="57"/>
      <x:c r="D62" s="57"/>
      <x:c r="E62" s="57"/>
      <x:c r="F62" s="57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>
      <x:c r="A63" s="57"/>
      <x:c r="B63" s="57"/>
      <x:c r="C63" s="57"/>
      <x:c r="D63" s="57"/>
      <x:c r="E63" s="57"/>
      <x:c r="F63" s="57"/>
      <x:c r="G63" s="57"/>
      <x:c r="H63" s="57"/>
      <x:c r="I63" s="57"/>
      <x:c r="J63" s="57"/>
      <x:c r="K63" s="57"/>
      <x:c r="L63" s="57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>
      <x:c r="A64" s="57"/>
      <x:c r="B64" s="57"/>
      <x:c r="C64" s="57"/>
      <x:c r="D64" s="57"/>
      <x:c r="E64" s="57"/>
      <x:c r="F64" s="57"/>
      <x:c r="G64" s="57"/>
      <x:c r="H64" s="57"/>
      <x:c r="I64" s="57"/>
      <x:c r="J64" s="57"/>
      <x:c r="K64" s="57"/>
      <x:c r="L64" s="57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>
      <x:c r="A65" s="57"/>
      <x:c r="B65" s="57"/>
      <x:c r="C65" s="57"/>
      <x:c r="D65" s="57"/>
      <x:c r="E65" s="57"/>
      <x:c r="F65" s="57"/>
      <x:c r="G65" s="57"/>
      <x:c r="H65" s="57"/>
      <x:c r="I65" s="57"/>
      <x:c r="J65" s="57"/>
      <x:c r="K65" s="57"/>
      <x:c r="L65" s="57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>
      <x:c r="A66" s="57"/>
      <x:c r="B66" s="57"/>
      <x:c r="C66" s="57"/>
      <x:c r="D66" s="57"/>
      <x:c r="E66" s="57"/>
      <x:c r="F66" s="57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>
      <x:c r="A67" s="57"/>
      <x:c r="B67" s="57"/>
      <x:c r="C67" s="57"/>
      <x:c r="D67" s="57"/>
      <x:c r="E67" s="57"/>
      <x:c r="F67" s="57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>
      <x:c r="A68" s="57"/>
      <x:c r="B68" s="57"/>
      <x:c r="C68" s="57"/>
      <x:c r="D68" s="57"/>
      <x:c r="E68" s="57"/>
      <x:c r="F68" s="57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>
      <x:c r="A69" s="57"/>
      <x:c r="B69" s="57"/>
      <x:c r="C69" s="57"/>
      <x:c r="D69" s="57"/>
      <x:c r="E69" s="57"/>
      <x:c r="F69" s="57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>
      <x:c r="A70" s="57"/>
      <x:c r="B70" s="57"/>
      <x:c r="C70" s="57"/>
      <x:c r="D70" s="57"/>
      <x:c r="E70" s="57"/>
      <x:c r="F70" s="57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>
      <x:c r="A71" s="57"/>
      <x:c r="B71" s="57"/>
      <x:c r="C71" s="57"/>
      <x:c r="D71" s="57"/>
      <x:c r="E71" s="57"/>
      <x:c r="F71" s="57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>
      <x:c r="A72" s="57"/>
      <x:c r="B72" s="57"/>
      <x:c r="C72" s="57"/>
      <x:c r="D72" s="57"/>
      <x:c r="E72" s="57"/>
      <x:c r="F72" s="57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>
      <x:c r="A73" s="57"/>
      <x:c r="B73" s="57"/>
      <x:c r="C73" s="57"/>
      <x:c r="D73" s="57"/>
      <x:c r="E73" s="57"/>
      <x:c r="F73" s="57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>
      <x:c r="A74" s="57"/>
      <x:c r="B74" s="57"/>
      <x:c r="C74" s="57"/>
      <x:c r="D74" s="57"/>
      <x:c r="E74" s="57"/>
      <x:c r="F74" s="57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>
      <x:c r="A75" s="57"/>
      <x:c r="B75" s="57"/>
      <x:c r="C75" s="57"/>
      <x:c r="D75" s="57"/>
      <x:c r="E75" s="57"/>
      <x:c r="F75" s="57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>
      <x:c r="A76" s="57"/>
      <x:c r="B76" s="57"/>
      <x:c r="C76" s="57"/>
      <x:c r="D76" s="57"/>
      <x:c r="E76" s="57"/>
      <x:c r="F76" s="57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>
      <x:c r="A77" s="57"/>
      <x:c r="B77" s="57"/>
      <x:c r="C77" s="57"/>
      <x:c r="D77" s="57"/>
      <x:c r="E77" s="57"/>
      <x:c r="F77" s="57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>
      <x:c r="A78" s="57"/>
      <x:c r="B78" s="57"/>
      <x:c r="C78" s="57"/>
      <x:c r="D78" s="57"/>
      <x:c r="E78" s="57"/>
      <x:c r="F78" s="57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>
      <x:c r="A79" s="57"/>
      <x:c r="B79" s="57"/>
      <x:c r="C79" s="57"/>
      <x:c r="D79" s="57"/>
      <x:c r="E79" s="57"/>
      <x:c r="F79" s="57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>
      <x:c r="A80" s="57"/>
      <x:c r="B80" s="57"/>
      <x:c r="C80" s="57"/>
      <x:c r="D80" s="57"/>
      <x:c r="E80" s="57"/>
      <x:c r="F80" s="57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>
      <x:c r="A81" s="57"/>
      <x:c r="B81" s="57"/>
      <x:c r="C81" s="57"/>
      <x:c r="D81" s="57"/>
      <x:c r="E81" s="57"/>
      <x:c r="F81" s="57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>
      <x:c r="A82" s="57"/>
      <x:c r="B82" s="57"/>
      <x:c r="C82" s="57"/>
      <x:c r="D82" s="57"/>
      <x:c r="E82" s="57"/>
      <x:c r="F82" s="57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>
      <x:c r="A83" s="57"/>
      <x:c r="B83" s="57"/>
      <x:c r="C83" s="57"/>
      <x:c r="D83" s="57"/>
      <x:c r="E83" s="57"/>
      <x:c r="F83" s="57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>
      <x:c r="A84" s="57"/>
      <x:c r="B84" s="57"/>
      <x:c r="C84" s="57"/>
      <x:c r="D84" s="57"/>
      <x:c r="E84" s="57"/>
      <x:c r="F84" s="57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>
      <x:c r="A85" s="57"/>
      <x:c r="B85" s="57"/>
      <x:c r="C85" s="57"/>
      <x:c r="D85" s="57"/>
      <x:c r="E85" s="57"/>
      <x:c r="F85" s="57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>
      <x:c r="A86" s="57"/>
      <x:c r="B86" s="57"/>
      <x:c r="C86" s="57"/>
      <x:c r="D86" s="57"/>
      <x:c r="E86" s="57"/>
      <x:c r="F86" s="57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>
      <x:c r="A87" s="57"/>
      <x:c r="B87" s="57"/>
      <x:c r="C87" s="57"/>
      <x:c r="D87" s="57"/>
      <x:c r="E87" s="57"/>
      <x:c r="F87" s="57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>
      <x:c r="A88" s="57"/>
      <x:c r="B88" s="57"/>
      <x:c r="C88" s="57"/>
      <x:c r="D88" s="57"/>
      <x:c r="E88" s="57"/>
      <x:c r="F88" s="57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>
      <x:c r="A89" s="57"/>
      <x:c r="B89" s="57"/>
      <x:c r="C89" s="57"/>
      <x:c r="D89" s="57"/>
      <x:c r="E89" s="57"/>
      <x:c r="F89" s="57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>
      <x:c r="A90" s="57"/>
      <x:c r="B90" s="57"/>
      <x:c r="C90" s="57"/>
      <x:c r="D90" s="57"/>
      <x:c r="E90" s="57"/>
      <x:c r="F90" s="57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>
      <x:c r="A91" s="57"/>
      <x:c r="B91" s="57"/>
      <x:c r="C91" s="57"/>
      <x:c r="D91" s="57"/>
      <x:c r="E91" s="57"/>
      <x:c r="F91" s="57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>
      <x:c r="A92" s="57"/>
      <x:c r="B92" s="57"/>
      <x:c r="C92" s="57"/>
      <x:c r="D92" s="57"/>
      <x:c r="E92" s="57"/>
      <x:c r="F92" s="57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>
      <x:c r="A93" s="57"/>
      <x:c r="B93" s="57"/>
      <x:c r="C93" s="57"/>
      <x:c r="D93" s="57"/>
      <x:c r="E93" s="57"/>
      <x:c r="F93" s="57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>
      <x:c r="A94" s="57"/>
      <x:c r="B94" s="57"/>
      <x:c r="C94" s="57"/>
      <x:c r="D94" s="57"/>
      <x:c r="E94" s="57"/>
      <x:c r="F94" s="57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>
      <x:c r="A95" s="57"/>
      <x:c r="B95" s="57"/>
      <x:c r="C95" s="57"/>
      <x:c r="D95" s="57"/>
      <x:c r="E95" s="57"/>
      <x:c r="F95" s="57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>
      <x:c r="A96" s="57"/>
      <x:c r="B96" s="57"/>
      <x:c r="C96" s="57"/>
      <x:c r="D96" s="57"/>
      <x:c r="E96" s="57"/>
      <x:c r="F96" s="57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>
      <x:c r="A97" s="57"/>
      <x:c r="B97" s="57"/>
      <x:c r="C97" s="57"/>
      <x:c r="D97" s="57"/>
      <x:c r="E97" s="57"/>
      <x:c r="F97" s="57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>
      <x:c r="A98" s="57"/>
      <x:c r="B98" s="57"/>
      <x:c r="C98" s="57"/>
      <x:c r="D98" s="57"/>
      <x:c r="E98" s="57"/>
      <x:c r="F98" s="57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>
      <x:c r="A99" s="57"/>
      <x:c r="B99" s="57"/>
      <x:c r="C99" s="57"/>
      <x:c r="D99" s="57"/>
      <x:c r="E99" s="57"/>
      <x:c r="F99" s="57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>
      <x:c r="A100" s="57"/>
      <x:c r="B100" s="57"/>
      <x:c r="C100" s="57"/>
      <x:c r="D100" s="57"/>
      <x:c r="E100" s="57"/>
      <x:c r="F100" s="57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>
      <x:c r="A101" s="57"/>
      <x:c r="B101" s="57"/>
      <x:c r="C101" s="57"/>
      <x:c r="D101" s="57"/>
      <x:c r="E101" s="57"/>
      <x:c r="F101" s="57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>
      <x:c r="A102" s="57"/>
      <x:c r="B102" s="57"/>
      <x:c r="C102" s="57"/>
      <x:c r="D102" s="57"/>
      <x:c r="E102" s="57"/>
      <x:c r="F102" s="57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>
      <x:c r="A103" s="57"/>
      <x:c r="B103" s="57"/>
      <x:c r="C103" s="57"/>
      <x:c r="D103" s="57"/>
      <x:c r="E103" s="57"/>
      <x:c r="F103" s="57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>
      <x:c r="A104" s="57"/>
      <x:c r="B104" s="57"/>
      <x:c r="C104" s="57"/>
      <x:c r="D104" s="57"/>
      <x:c r="E104" s="57"/>
      <x:c r="F104" s="57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>
      <x:c r="A105" s="57"/>
      <x:c r="B105" s="57"/>
      <x:c r="C105" s="57"/>
      <x:c r="D105" s="57"/>
      <x:c r="E105" s="57"/>
      <x:c r="F105" s="57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>
      <x:c r="A106" s="57"/>
      <x:c r="B106" s="57"/>
      <x:c r="C106" s="57"/>
      <x:c r="D106" s="57"/>
      <x:c r="E106" s="57"/>
      <x:c r="F106" s="57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>
      <x:c r="A107" s="57"/>
      <x:c r="B107" s="57"/>
      <x:c r="C107" s="57"/>
      <x:c r="D107" s="57"/>
      <x:c r="E107" s="57"/>
      <x:c r="F107" s="57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>
      <x:c r="A108" s="57"/>
      <x:c r="B108" s="57"/>
      <x:c r="C108" s="57"/>
      <x:c r="D108" s="57"/>
      <x:c r="E108" s="57"/>
      <x:c r="F108" s="57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>
      <x:c r="A109" s="57"/>
      <x:c r="B109" s="57"/>
      <x:c r="C109" s="57"/>
      <x:c r="D109" s="57"/>
      <x:c r="E109" s="57"/>
      <x:c r="F109" s="57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>
      <x:c r="A110" s="57"/>
      <x:c r="B110" s="57"/>
      <x:c r="C110" s="57"/>
      <x:c r="D110" s="57"/>
      <x:c r="E110" s="57"/>
      <x:c r="F110" s="57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>
      <x:c r="A111" s="57"/>
      <x:c r="B111" s="57"/>
      <x:c r="C111" s="57"/>
      <x:c r="D111" s="57"/>
      <x:c r="E111" s="57"/>
      <x:c r="F111" s="57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>
      <x:c r="A112" s="57"/>
      <x:c r="B112" s="57"/>
      <x:c r="C112" s="57"/>
      <x:c r="D112" s="57"/>
      <x:c r="E112" s="57"/>
      <x:c r="F112" s="57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>
      <x:c r="A113" s="57"/>
      <x:c r="B113" s="57"/>
      <x:c r="C113" s="57"/>
      <x:c r="D113" s="57"/>
      <x:c r="E113" s="57"/>
      <x:c r="F113" s="57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>
      <x:c r="A114" s="57"/>
      <x:c r="B114" s="57"/>
      <x:c r="C114" s="57"/>
      <x:c r="D114" s="57"/>
      <x:c r="E114" s="57"/>
      <x:c r="F114" s="57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>
      <x:c r="A115" s="57"/>
      <x:c r="B115" s="57"/>
      <x:c r="C115" s="57"/>
      <x:c r="D115" s="57"/>
      <x:c r="E115" s="57"/>
      <x:c r="F115" s="57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>
      <x:c r="A116" s="57"/>
      <x:c r="B116" s="57"/>
      <x:c r="C116" s="57"/>
      <x:c r="D116" s="57"/>
      <x:c r="E116" s="57"/>
      <x:c r="F116" s="57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>
      <x:c r="A117" s="57"/>
      <x:c r="B117" s="57"/>
      <x:c r="C117" s="57"/>
      <x:c r="D117" s="57"/>
      <x:c r="E117" s="57"/>
      <x:c r="F117" s="57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>
      <x:c r="A118" s="57"/>
      <x:c r="B118" s="57"/>
      <x:c r="C118" s="57"/>
      <x:c r="D118" s="57"/>
      <x:c r="E118" s="57"/>
      <x:c r="F118" s="57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>
      <x:c r="A119" s="57"/>
      <x:c r="B119" s="57"/>
      <x:c r="C119" s="57"/>
      <x:c r="D119" s="57"/>
      <x:c r="E119" s="57"/>
      <x:c r="F119" s="57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>
      <x:c r="A120" s="57"/>
      <x:c r="B120" s="57"/>
      <x:c r="C120" s="57"/>
      <x:c r="D120" s="57"/>
      <x:c r="E120" s="57"/>
      <x:c r="F120" s="57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>
      <x:c r="A121" s="57"/>
      <x:c r="B121" s="57"/>
      <x:c r="C121" s="57"/>
      <x:c r="D121" s="57"/>
      <x:c r="E121" s="57"/>
      <x:c r="F121" s="57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>
      <x:c r="A122" s="57"/>
      <x:c r="B122" s="57"/>
      <x:c r="C122" s="57"/>
      <x:c r="D122" s="57"/>
      <x:c r="E122" s="57"/>
      <x:c r="F122" s="57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>
      <x:c r="A123" s="57"/>
      <x:c r="B123" s="57"/>
      <x:c r="C123" s="57"/>
      <x:c r="D123" s="57"/>
      <x:c r="E123" s="57"/>
      <x:c r="F123" s="57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>
      <x:c r="A124" s="57"/>
      <x:c r="B124" s="57"/>
      <x:c r="C124" s="57"/>
      <x:c r="D124" s="57"/>
      <x:c r="E124" s="57"/>
      <x:c r="F124" s="57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>
      <x:c r="A125" s="57"/>
      <x:c r="B125" s="57"/>
      <x:c r="C125" s="57"/>
      <x:c r="D125" s="57"/>
      <x:c r="E125" s="57"/>
      <x:c r="F125" s="57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>
      <x:c r="A126" s="57"/>
      <x:c r="B126" s="57"/>
      <x:c r="C126" s="57"/>
      <x:c r="D126" s="57"/>
      <x:c r="E126" s="57"/>
      <x:c r="F126" s="57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>
      <x:c r="A127" s="57"/>
      <x:c r="B127" s="57"/>
      <x:c r="C127" s="57"/>
      <x:c r="D127" s="57"/>
      <x:c r="E127" s="57"/>
      <x:c r="F127" s="57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>
      <x:c r="A128" s="57"/>
      <x:c r="B128" s="57"/>
      <x:c r="C128" s="57"/>
      <x:c r="D128" s="57"/>
      <x:c r="E128" s="57"/>
      <x:c r="F128" s="57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>
      <x:c r="A129" s="57"/>
      <x:c r="B129" s="57"/>
      <x:c r="C129" s="57"/>
      <x:c r="D129" s="57"/>
      <x:c r="E129" s="57"/>
      <x:c r="F129" s="57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>
      <x:c r="A130" s="57"/>
      <x:c r="B130" s="57"/>
      <x:c r="C130" s="57"/>
      <x:c r="D130" s="57"/>
      <x:c r="E130" s="57"/>
      <x:c r="F130" s="57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>
      <x:c r="A131" s="57"/>
      <x:c r="B131" s="57"/>
      <x:c r="C131" s="57"/>
      <x:c r="D131" s="57"/>
      <x:c r="E131" s="57"/>
      <x:c r="F131" s="57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>
      <x:c r="A132" s="57"/>
      <x:c r="B132" s="57"/>
      <x:c r="C132" s="57"/>
      <x:c r="D132" s="57"/>
      <x:c r="E132" s="57"/>
      <x:c r="F132" s="57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>
      <x:c r="A133" s="57"/>
      <x:c r="B133" s="57"/>
      <x:c r="C133" s="57"/>
      <x:c r="D133" s="57"/>
      <x:c r="E133" s="57"/>
      <x:c r="F133" s="57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>
      <x:c r="A134" s="57"/>
      <x:c r="B134" s="57"/>
      <x:c r="C134" s="57"/>
      <x:c r="D134" s="57"/>
      <x:c r="E134" s="57"/>
      <x:c r="F134" s="57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>
      <x:c r="A135" s="57"/>
      <x:c r="B135" s="57"/>
      <x:c r="C135" s="57"/>
      <x:c r="D135" s="57"/>
      <x:c r="E135" s="57"/>
      <x:c r="F135" s="57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>
      <x:c r="A136" s="57"/>
      <x:c r="B136" s="57"/>
      <x:c r="C136" s="57"/>
      <x:c r="D136" s="57"/>
      <x:c r="E136" s="57"/>
      <x:c r="F136" s="57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>
      <x:c r="A137" s="57"/>
      <x:c r="B137" s="57"/>
      <x:c r="C137" s="57"/>
      <x:c r="D137" s="57"/>
      <x:c r="E137" s="57"/>
      <x:c r="F137" s="57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>
      <x:c r="A138" s="57"/>
      <x:c r="B138" s="57"/>
      <x:c r="C138" s="57"/>
      <x:c r="D138" s="57"/>
      <x:c r="E138" s="57"/>
      <x:c r="F138" s="57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>
      <x:c r="A139" s="57"/>
      <x:c r="B139" s="57"/>
      <x:c r="C139" s="57"/>
      <x:c r="D139" s="57"/>
      <x:c r="E139" s="57"/>
      <x:c r="F139" s="57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>
      <x:c r="A140" s="57"/>
      <x:c r="B140" s="57"/>
      <x:c r="C140" s="57"/>
      <x:c r="D140" s="57"/>
      <x:c r="E140" s="57"/>
      <x:c r="F140" s="57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>
      <x:c r="A141" s="57"/>
      <x:c r="B141" s="57"/>
      <x:c r="C141" s="57"/>
      <x:c r="D141" s="57"/>
      <x:c r="E141" s="57"/>
      <x:c r="F141" s="57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>
      <x:c r="A142" s="57"/>
      <x:c r="B142" s="57"/>
      <x:c r="C142" s="57"/>
      <x:c r="D142" s="57"/>
      <x:c r="E142" s="57"/>
      <x:c r="F142" s="57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>
      <x:c r="A143" s="57"/>
      <x:c r="B143" s="57"/>
      <x:c r="C143" s="57"/>
      <x:c r="D143" s="57"/>
      <x:c r="E143" s="57"/>
      <x:c r="F143" s="57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>
      <x:c r="A144" s="57"/>
      <x:c r="B144" s="57"/>
      <x:c r="C144" s="57"/>
      <x:c r="D144" s="57"/>
      <x:c r="E144" s="57"/>
      <x:c r="F144" s="57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>
      <x:c r="A145" s="57"/>
      <x:c r="B145" s="57"/>
      <x:c r="C145" s="57"/>
      <x:c r="D145" s="57"/>
      <x:c r="E145" s="57"/>
      <x:c r="F145" s="57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>
      <x:c r="A146" s="57"/>
      <x:c r="B146" s="57"/>
      <x:c r="C146" s="57"/>
      <x:c r="D146" s="57"/>
      <x:c r="E146" s="57"/>
      <x:c r="F146" s="57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>
      <x:c r="A147" s="57"/>
      <x:c r="B147" s="57"/>
      <x:c r="C147" s="57"/>
      <x:c r="D147" s="57"/>
      <x:c r="E147" s="57"/>
      <x:c r="F147" s="57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>
      <x:c r="A148" s="57"/>
      <x:c r="B148" s="57"/>
      <x:c r="C148" s="57"/>
      <x:c r="D148" s="57"/>
      <x:c r="E148" s="57"/>
      <x:c r="F148" s="57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>
      <x:c r="A149" s="57"/>
      <x:c r="B149" s="57"/>
      <x:c r="C149" s="57"/>
      <x:c r="D149" s="57"/>
      <x:c r="E149" s="57"/>
      <x:c r="F149" s="57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>
      <x:c r="A150" s="57"/>
      <x:c r="B150" s="57"/>
      <x:c r="C150" s="57"/>
      <x:c r="D150" s="57"/>
      <x:c r="E150" s="57"/>
      <x:c r="F150" s="57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>
      <x:c r="A151" s="57"/>
      <x:c r="B151" s="57"/>
      <x:c r="C151" s="57"/>
      <x:c r="D151" s="57"/>
      <x:c r="E151" s="57"/>
      <x:c r="F151" s="57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>
      <x:c r="A152" s="57"/>
      <x:c r="B152" s="57"/>
      <x:c r="C152" s="57"/>
      <x:c r="D152" s="57"/>
      <x:c r="E152" s="57"/>
      <x:c r="F152" s="57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>
      <x:c r="A153" s="57"/>
      <x:c r="B153" s="57"/>
      <x:c r="C153" s="57"/>
      <x:c r="D153" s="57"/>
      <x:c r="E153" s="57"/>
      <x:c r="F153" s="57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>
      <x:c r="A154" s="57"/>
      <x:c r="B154" s="57"/>
      <x:c r="C154" s="57"/>
      <x:c r="D154" s="57"/>
      <x:c r="E154" s="57"/>
      <x:c r="F154" s="57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>
      <x:c r="A155" s="57"/>
      <x:c r="B155" s="57"/>
      <x:c r="C155" s="57"/>
      <x:c r="D155" s="57"/>
      <x:c r="E155" s="57"/>
      <x:c r="F155" s="57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>
      <x:c r="A156" s="57"/>
      <x:c r="B156" s="57"/>
      <x:c r="C156" s="57"/>
      <x:c r="D156" s="57"/>
      <x:c r="E156" s="57"/>
      <x:c r="F156" s="57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>
      <x:c r="A157" s="57"/>
      <x:c r="B157" s="57"/>
      <x:c r="C157" s="57"/>
      <x:c r="D157" s="57"/>
      <x:c r="E157" s="57"/>
      <x:c r="F157" s="57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>
      <x:c r="A158" s="57"/>
      <x:c r="B158" s="57"/>
      <x:c r="C158" s="57"/>
      <x:c r="D158" s="57"/>
      <x:c r="E158" s="57"/>
      <x:c r="F158" s="57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>
      <x:c r="A159" s="57"/>
      <x:c r="B159" s="57"/>
      <x:c r="C159" s="57"/>
      <x:c r="D159" s="57"/>
      <x:c r="E159" s="57"/>
      <x:c r="F159" s="57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>
      <x:c r="A160" s="57"/>
      <x:c r="B160" s="57"/>
      <x:c r="C160" s="57"/>
      <x:c r="D160" s="57"/>
      <x:c r="E160" s="57"/>
      <x:c r="F160" s="57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>
      <x:c r="A161" s="57"/>
      <x:c r="B161" s="57"/>
      <x:c r="C161" s="57"/>
      <x:c r="D161" s="57"/>
      <x:c r="E161" s="57"/>
      <x:c r="F161" s="57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>
      <x:c r="A162" s="57"/>
      <x:c r="B162" s="57"/>
      <x:c r="C162" s="57"/>
      <x:c r="D162" s="57"/>
      <x:c r="E162" s="57"/>
      <x:c r="F162" s="57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>
      <x:c r="A163" s="57"/>
      <x:c r="B163" s="57"/>
      <x:c r="C163" s="57"/>
      <x:c r="D163" s="57"/>
      <x:c r="E163" s="57"/>
      <x:c r="F163" s="57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>
      <x:c r="A164" s="57"/>
      <x:c r="B164" s="57"/>
      <x:c r="C164" s="57"/>
      <x:c r="D164" s="57"/>
      <x:c r="E164" s="57"/>
      <x:c r="F164" s="57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>
      <x:c r="A165" s="57"/>
      <x:c r="B165" s="57"/>
      <x:c r="C165" s="57"/>
      <x:c r="D165" s="57"/>
      <x:c r="E165" s="57"/>
      <x:c r="F165" s="57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>
      <x:c r="A166" s="57"/>
      <x:c r="B166" s="57"/>
      <x:c r="C166" s="57"/>
      <x:c r="D166" s="57"/>
      <x:c r="E166" s="57"/>
      <x:c r="F166" s="57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>
      <x:c r="A167" s="57"/>
      <x:c r="B167" s="57"/>
      <x:c r="C167" s="57"/>
      <x:c r="D167" s="57"/>
      <x:c r="E167" s="57"/>
      <x:c r="F167" s="57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>
      <x:c r="A168" s="57"/>
      <x:c r="B168" s="57"/>
      <x:c r="C168" s="57"/>
      <x:c r="D168" s="57"/>
      <x:c r="E168" s="57"/>
      <x:c r="F168" s="57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>
      <x:c r="A169" s="57"/>
      <x:c r="B169" s="57"/>
      <x:c r="C169" s="57"/>
      <x:c r="D169" s="57"/>
      <x:c r="E169" s="57"/>
      <x:c r="F169" s="57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>
      <x:c r="A170" s="57"/>
      <x:c r="B170" s="57"/>
      <x:c r="C170" s="57"/>
      <x:c r="D170" s="57"/>
      <x:c r="E170" s="57"/>
      <x:c r="F170" s="57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>
      <x:c r="A171" s="57"/>
      <x:c r="B171" s="57"/>
      <x:c r="C171" s="57"/>
      <x:c r="D171" s="57"/>
      <x:c r="E171" s="57"/>
      <x:c r="F171" s="57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>
      <x:c r="A172" s="57"/>
      <x:c r="B172" s="57"/>
      <x:c r="C172" s="57"/>
      <x:c r="D172" s="57"/>
      <x:c r="E172" s="57"/>
      <x:c r="F172" s="57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>
      <x:c r="A173" s="57"/>
      <x:c r="B173" s="57"/>
      <x:c r="C173" s="57"/>
      <x:c r="D173" s="57"/>
      <x:c r="E173" s="57"/>
      <x:c r="F173" s="57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>
      <x:c r="A174" s="57"/>
      <x:c r="B174" s="57"/>
      <x:c r="C174" s="57"/>
      <x:c r="D174" s="57"/>
      <x:c r="E174" s="57"/>
      <x:c r="F174" s="57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>
      <x:c r="A175" s="57"/>
      <x:c r="B175" s="57"/>
      <x:c r="C175" s="57"/>
      <x:c r="D175" s="57"/>
      <x:c r="E175" s="57"/>
      <x:c r="F175" s="57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>
      <x:c r="A176" s="57"/>
      <x:c r="B176" s="57"/>
      <x:c r="C176" s="57"/>
      <x:c r="D176" s="57"/>
      <x:c r="E176" s="57"/>
      <x:c r="F176" s="57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>
      <x:c r="A177" s="57"/>
      <x:c r="B177" s="57"/>
      <x:c r="C177" s="57"/>
      <x:c r="D177" s="57"/>
      <x:c r="E177" s="57"/>
      <x:c r="F177" s="57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>
      <x:c r="A178" s="57"/>
      <x:c r="B178" s="57"/>
      <x:c r="C178" s="57"/>
      <x:c r="D178" s="57"/>
      <x:c r="E178" s="57"/>
      <x:c r="F178" s="57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>
      <x:c r="A179" s="57"/>
      <x:c r="B179" s="57"/>
      <x:c r="C179" s="57"/>
      <x:c r="D179" s="57"/>
      <x:c r="E179" s="57"/>
      <x:c r="F179" s="57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>
      <x:c r="A180" s="57"/>
      <x:c r="B180" s="57"/>
      <x:c r="C180" s="57"/>
      <x:c r="D180" s="57"/>
      <x:c r="E180" s="57"/>
      <x:c r="F180" s="57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>
      <x:c r="A181" s="57"/>
      <x:c r="B181" s="57"/>
      <x:c r="C181" s="57"/>
      <x:c r="D181" s="57"/>
      <x:c r="E181" s="57"/>
      <x:c r="F181" s="57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>
      <x:c r="A182" s="57"/>
      <x:c r="B182" s="57"/>
      <x:c r="C182" s="57"/>
      <x:c r="D182" s="57"/>
      <x:c r="E182" s="57"/>
      <x:c r="F182" s="57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>
      <x:c r="A183" s="57"/>
      <x:c r="B183" s="57"/>
      <x:c r="C183" s="57"/>
      <x:c r="D183" s="57"/>
      <x:c r="E183" s="57"/>
      <x:c r="F183" s="57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>
      <x:c r="A184" s="57"/>
      <x:c r="B184" s="57"/>
      <x:c r="C184" s="57"/>
      <x:c r="D184" s="57"/>
      <x:c r="E184" s="57"/>
      <x:c r="F184" s="57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>
      <x:c r="A185" s="57"/>
      <x:c r="B185" s="57"/>
      <x:c r="C185" s="57"/>
      <x:c r="D185" s="57"/>
      <x:c r="E185" s="57"/>
      <x:c r="F185" s="57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>
      <x:c r="A186" s="57"/>
      <x:c r="B186" s="57"/>
      <x:c r="C186" s="57"/>
      <x:c r="D186" s="57"/>
      <x:c r="E186" s="57"/>
      <x:c r="F186" s="57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>
      <x:c r="A187" s="57"/>
      <x:c r="B187" s="57"/>
      <x:c r="C187" s="57"/>
      <x:c r="D187" s="57"/>
      <x:c r="E187" s="57"/>
      <x:c r="F187" s="57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>
      <x:c r="A188" s="57"/>
      <x:c r="B188" s="57"/>
      <x:c r="C188" s="57"/>
      <x:c r="D188" s="57"/>
      <x:c r="E188" s="57"/>
      <x:c r="F188" s="57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>
      <x:c r="A189" s="57"/>
      <x:c r="B189" s="57"/>
      <x:c r="C189" s="57"/>
      <x:c r="D189" s="57"/>
      <x:c r="E189" s="57"/>
      <x:c r="F189" s="57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>
      <x:c r="A190" s="57"/>
      <x:c r="B190" s="57"/>
      <x:c r="C190" s="57"/>
      <x:c r="D190" s="57"/>
      <x:c r="E190" s="57"/>
      <x:c r="F190" s="57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>
      <x:c r="A191" s="57"/>
      <x:c r="B191" s="57"/>
      <x:c r="C191" s="57"/>
      <x:c r="D191" s="57"/>
      <x:c r="E191" s="57"/>
      <x:c r="F191" s="57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>
      <x:c r="A192" s="57"/>
      <x:c r="B192" s="57"/>
      <x:c r="C192" s="57"/>
      <x:c r="D192" s="57"/>
      <x:c r="E192" s="57"/>
      <x:c r="F192" s="57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>
      <x:c r="A193" s="57"/>
      <x:c r="B193" s="57"/>
      <x:c r="C193" s="57"/>
      <x:c r="D193" s="57"/>
      <x:c r="E193" s="57"/>
      <x:c r="F193" s="57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>
      <x:c r="A194" s="57"/>
      <x:c r="B194" s="57"/>
      <x:c r="C194" s="57"/>
      <x:c r="D194" s="57"/>
      <x:c r="E194" s="57"/>
      <x:c r="F194" s="57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>
      <x:c r="A195" s="57"/>
      <x:c r="B195" s="57"/>
      <x:c r="C195" s="57"/>
      <x:c r="D195" s="57"/>
      <x:c r="E195" s="57"/>
      <x:c r="F195" s="57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>
      <x:c r="A196" s="57"/>
      <x:c r="B196" s="57"/>
      <x:c r="C196" s="57"/>
      <x:c r="D196" s="57"/>
      <x:c r="E196" s="57"/>
      <x:c r="F196" s="57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>
      <x:c r="A197" s="57"/>
      <x:c r="B197" s="57"/>
      <x:c r="C197" s="57"/>
      <x:c r="D197" s="57"/>
      <x:c r="E197" s="57"/>
      <x:c r="F197" s="57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>
      <x:c r="A198" s="57"/>
      <x:c r="B198" s="57"/>
      <x:c r="C198" s="57"/>
      <x:c r="D198" s="57"/>
      <x:c r="E198" s="57"/>
      <x:c r="F198" s="57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>
      <x:c r="A199" s="57"/>
      <x:c r="B199" s="57"/>
      <x:c r="C199" s="57"/>
      <x:c r="D199" s="57"/>
      <x:c r="E199" s="57"/>
      <x:c r="F199" s="57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>
      <x:c r="A200" s="57"/>
      <x:c r="B200" s="57"/>
      <x:c r="C200" s="57"/>
      <x:c r="D200" s="57"/>
      <x:c r="E200" s="57"/>
      <x:c r="F200" s="57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</x:sheetData>
  <x:mergeCells>
    <x:mergeCell ref="A1:G2"/>
    <x:mergeCell ref="A3:G3"/>
  </x:mergeCells>
  <x:conditionalFormatting sqref="B5:B5">
    <x:cfRule type="expression" dxfId="3" priority="1">
      <x:formula>$B$5="PASS"</x:formula>
    </x:cfRule>
    <x:cfRule type="expression" dxfId="4" priority="2">
      <x:formula>$B$5="FAIL"</x:formula>
    </x:cfRule>
  </x:conditionalFormatting>
  <x:conditionalFormatting sqref="F8:F17">
    <x:cfRule type="expression" dxfId="5" priority="3">
      <x:formula>$F8="OK"</x:formula>
    </x:cfRule>
    <x:cfRule type="expression" dxfId="6" priority="4">
      <x:formula>$F8="ОШИБКА"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34" hidden="0" customWidth="1"/>
    <x:col min="3" max="3" width="30" hidden="0" customWidth="1"/>
    <x:col min="4" max="4" width="29" hidden="0" customWidth="1"/>
    <x:col min="5" max="5" width="18" hidden="0" customWidth="1"/>
    <x:col min="6" max="6" width="48" hidden="0" customWidth="1"/>
  </x:cols>
  <x:sheetData>
    <x:row r="1">
      <x:c r="A1" s="53" t="str">
        <x:v>Источники данных и границы применимости</x:v>
      </x:c>
      <x:c r="B1" s="53"/>
      <x:c r="C1" s="53"/>
      <x:c r="D1" s="53"/>
      <x:c r="E1" s="53"/>
      <x:c r="F1" s="53"/>
      <x:c r="G1" s="57"/>
      <x:c r="H1" s="57"/>
      <x:c r="I1" s="57"/>
      <x:c r="J1" s="57"/>
      <x:c r="K1" s="57"/>
      <x:c r="L1" s="57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>
      <x:c r="A2" s="53"/>
      <x:c r="B2" s="53"/>
      <x:c r="C2" s="53"/>
      <x:c r="D2" s="53"/>
      <x:c r="E2" s="53"/>
      <x:c r="F2" s="53"/>
      <x:c r="G2" s="57"/>
      <x:c r="H2" s="57"/>
      <x:c r="I2" s="57"/>
      <x:c r="J2" s="57"/>
      <x:c r="K2" s="57"/>
      <x:c r="L2" s="57"/>
      <x:c r="M2" s="57"/>
      <x:c r="N2" s="57"/>
      <x:c r="O2" s="57"/>
      <x:c r="P2" s="57"/>
      <x:c r="Q2" s="57"/>
      <x:c r="R2" s="57"/>
      <x:c r="S2" s="57"/>
      <x:c r="T2" s="57"/>
      <x:c r="U2" s="57"/>
      <x:c r="V2" s="57"/>
      <x:c r="W2" s="57"/>
      <x:c r="X2" s="57"/>
      <x:c r="Y2" s="57"/>
      <x:c r="Z2" s="57"/>
    </x:row>
    <x:row r="3">
      <x:c r="A3" s="54" t="str">
        <x:v>Реестр входных данных, проверяемых проектных фактов и учебных допущений.</x:v>
      </x:c>
      <x:c r="B3" s="54"/>
      <x:c r="C3" s="54"/>
      <x:c r="D3" s="54"/>
      <x:c r="E3" s="54"/>
      <x:c r="F3" s="54"/>
      <x:c r="G3" s="57"/>
      <x:c r="H3" s="57"/>
      <x:c r="I3" s="57"/>
      <x:c r="J3" s="57"/>
      <x:c r="K3" s="57"/>
      <x:c r="L3" s="57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</x:row>
    <x:row r="4">
      <x:c r="A4" s="57"/>
      <x:c r="B4" s="57"/>
      <x:c r="C4" s="57"/>
      <x:c r="D4" s="57"/>
      <x:c r="E4" s="57"/>
      <x:c r="F4" s="57"/>
      <x:c r="G4" s="57"/>
      <x:c r="H4" s="57"/>
      <x:c r="I4" s="57"/>
      <x:c r="J4" s="57"/>
      <x:c r="K4" s="57"/>
      <x:c r="L4" s="57"/>
      <x:c r="M4" s="57"/>
      <x:c r="N4" s="57"/>
      <x:c r="O4" s="57"/>
      <x:c r="P4" s="57"/>
      <x:c r="Q4" s="57"/>
      <x:c r="R4" s="57"/>
      <x:c r="S4" s="57"/>
      <x:c r="T4" s="57"/>
      <x:c r="U4" s="57"/>
      <x:c r="V4" s="57"/>
      <x:c r="W4" s="57"/>
      <x:c r="X4" s="57"/>
      <x:c r="Y4" s="57"/>
      <x:c r="Z4" s="57"/>
    </x:row>
    <x:row r="5">
      <x:c r="A5" s="60" t="str">
        <x:v>№</x:v>
      </x:c>
      <x:c r="B5" s="60" t="str">
        <x:v>Источник / основание</x:v>
      </x:c>
      <x:c r="C5" s="60" t="str">
        <x:v>Параметры</x:v>
      </x:c>
      <x:c r="D5" s="60" t="str">
        <x:v>Значение для модели</x:v>
      </x:c>
      <x:c r="E5" s="60" t="str">
        <x:v>Статус</x:v>
      </x:c>
      <x:c r="F5" s="60" t="str">
        <x:v>Ограничение</x:v>
      </x:c>
      <x:c r="G5" s="57"/>
      <x:c r="H5" s="57"/>
      <x:c r="I5" s="57"/>
      <x:c r="J5" s="57"/>
      <x:c r="K5" s="57"/>
      <x:c r="L5" s="57"/>
      <x:c r="M5" s="57"/>
      <x:c r="N5" s="57"/>
      <x:c r="O5" s="57"/>
      <x:c r="P5" s="57"/>
      <x:c r="Q5" s="57"/>
      <x:c r="R5" s="57"/>
      <x:c r="S5" s="57"/>
      <x:c r="T5" s="57"/>
      <x:c r="U5" s="57"/>
      <x:c r="V5" s="57"/>
      <x:c r="W5" s="57"/>
      <x:c r="X5" s="57"/>
      <x:c r="Y5" s="57"/>
      <x:c r="Z5" s="57"/>
    </x:row>
    <x:row r="6">
      <x:c r="A6" s="325" t="n">
        <x:v>1</x:v>
      </x:c>
      <x:c r="B6" s="325" t="str">
        <x:v>Условие задачи</x:v>
      </x:c>
      <x:c r="C6" s="325" t="str">
        <x:v>Ставка поддержки / оператора</x:v>
      </x:c>
      <x:c r="D6" s="325" t="str">
        <x:v>2 000 ₽/ч</x:v>
      </x:c>
      <x:c r="E6" s="325" t="str">
        <x:v>Обязательно</x:v>
      </x:c>
      <x:c r="F6" s="325" t="str">
        <x:v>Применяется к сокращению трудозатрат</x:v>
      </x:c>
      <x:c r="G6" s="57"/>
      <x:c r="H6" s="57"/>
      <x:c r="I6" s="57"/>
      <x:c r="J6" s="57"/>
      <x:c r="K6" s="57"/>
      <x:c r="L6" s="57"/>
      <x:c r="M6" s="57"/>
      <x:c r="N6" s="57"/>
      <x:c r="O6" s="57"/>
      <x:c r="P6" s="57"/>
      <x:c r="Q6" s="57"/>
      <x:c r="R6" s="57"/>
      <x:c r="S6" s="57"/>
      <x:c r="T6" s="57"/>
      <x:c r="U6" s="57"/>
      <x:c r="V6" s="57"/>
      <x:c r="W6" s="57"/>
      <x:c r="X6" s="57"/>
      <x:c r="Y6" s="57"/>
      <x:c r="Z6" s="57"/>
    </x:row>
    <x:row r="7">
      <x:c r="A7" s="325" t="n">
        <x:v>2</x:v>
      </x:c>
      <x:c r="B7" s="325" t="str">
        <x:v>Условие задачи</x:v>
      </x:c>
      <x:c r="C7" s="325" t="str">
        <x:v>Ставка проектной команды</x:v>
      </x:c>
      <x:c r="D7" s="325" t="str">
        <x:v>3 500 ₽/ч</x:v>
      </x:c>
      <x:c r="E7" s="325" t="str">
        <x:v>Обязательно</x:v>
      </x:c>
      <x:c r="F7" s="325" t="str">
        <x:v>Применяется к бюджету и подключению источников</x:v>
      </x:c>
      <x:c r="G7" s="57"/>
      <x:c r="H7" s="57"/>
      <x:c r="I7" s="57"/>
      <x:c r="J7" s="57"/>
      <x:c r="K7" s="57"/>
      <x:c r="L7" s="57"/>
      <x:c r="M7" s="57"/>
      <x:c r="N7" s="57"/>
      <x:c r="O7" s="57"/>
      <x:c r="P7" s="57"/>
      <x:c r="Q7" s="57"/>
      <x:c r="R7" s="57"/>
      <x:c r="S7" s="57"/>
      <x:c r="T7" s="57"/>
      <x:c r="U7" s="57"/>
      <x:c r="V7" s="57"/>
      <x:c r="W7" s="57"/>
      <x:c r="X7" s="57"/>
      <x:c r="Y7" s="57"/>
      <x:c r="Z7" s="57"/>
    </x:row>
    <x:row r="8">
      <x:c r="A8" s="325" t="n">
        <x:v>3</x:v>
      </x:c>
      <x:c r="B8" s="325" t="str">
        <x:v>Условие задачи</x:v>
      </x:c>
      <x:c r="C8" s="325" t="str">
        <x:v>Простой установки НПЗ</x:v>
      </x:c>
      <x:c r="D8" s="325" t="str">
        <x:v>150 млн ₽/сутки</x:v>
      </x:c>
      <x:c r="E8" s="325" t="str">
        <x:v>Обязательно</x:v>
      </x:c>
      <x:c r="F8" s="325" t="str">
        <x:v>Учебная оценка; заменить финансовыми актами предприятия</x:v>
      </x:c>
      <x:c r="G8" s="57"/>
      <x:c r="H8" s="57"/>
      <x:c r="I8" s="57"/>
      <x:c r="J8" s="57"/>
      <x:c r="K8" s="57"/>
      <x:c r="L8" s="57"/>
      <x:c r="M8" s="57"/>
      <x:c r="N8" s="57"/>
      <x:c r="O8" s="57"/>
      <x:c r="P8" s="57"/>
      <x:c r="Q8" s="57"/>
      <x:c r="R8" s="57"/>
      <x:c r="S8" s="57"/>
      <x:c r="T8" s="57"/>
      <x:c r="U8" s="57"/>
      <x:c r="V8" s="57"/>
      <x:c r="W8" s="57"/>
      <x:c r="X8" s="57"/>
      <x:c r="Y8" s="57"/>
      <x:c r="Z8" s="57"/>
    </x:row>
    <x:row r="9">
      <x:c r="A9" s="325" t="n">
        <x:v>4</x:v>
      </x:c>
      <x:c r="B9" s="325" t="str">
        <x:v>Материалы кейса</x:v>
      </x:c>
      <x:c r="C9" s="325" t="str">
        <x:v>События и шум</x:v>
      </x:c>
      <x:c r="D9" s="325" t="str">
        <x:v>5 400 событий/день; 65% шума</x:v>
      </x:c>
      <x:c r="E9" s="325" t="str">
        <x:v>Факт кейса</x:v>
      </x:c>
      <x:c r="F9" s="325" t="str">
        <x:v>Показывает масштаб, напрямую не монетизируется</x:v>
      </x:c>
      <x:c r="G9" s="57"/>
      <x:c r="H9" s="57"/>
      <x:c r="I9" s="57"/>
      <x:c r="J9" s="57"/>
      <x:c r="K9" s="57"/>
      <x:c r="L9" s="57"/>
      <x:c r="M9" s="57"/>
      <x:c r="N9" s="57"/>
      <x:c r="O9" s="57"/>
      <x:c r="P9" s="57"/>
      <x:c r="Q9" s="57"/>
      <x:c r="R9" s="57"/>
      <x:c r="S9" s="57"/>
      <x:c r="T9" s="57"/>
      <x:c r="U9" s="57"/>
      <x:c r="V9" s="57"/>
      <x:c r="W9" s="57"/>
      <x:c r="X9" s="57"/>
      <x:c r="Y9" s="57"/>
      <x:c r="Z9" s="57"/>
    </x:row>
    <x:row r="10">
      <x:c r="A10" s="325" t="n">
        <x:v>5</x:v>
      </x:c>
      <x:c r="B10" s="325" t="str">
        <x:v>Материалы кейса</x:v>
      </x:c>
      <x:c r="C10" s="325" t="str">
        <x:v>Ручная обработка L1</x:v>
      </x:c>
      <x:c r="D10" s="325" t="str">
        <x:v>48 чел.-ч/день</x:v>
      </x:c>
      <x:c r="E10" s="325" t="str">
        <x:v>Факт кейса</x:v>
      </x:c>
      <x:c r="F10" s="325" t="str">
        <x:v>Пересчитывается по актуальной ставке 2 000 ₽/ч</x:v>
      </x:c>
      <x:c r="G10" s="57"/>
      <x:c r="H10" s="57"/>
      <x:c r="I10" s="57"/>
      <x:c r="J10" s="57"/>
      <x:c r="K10" s="57"/>
      <x:c r="L10" s="57"/>
      <x:c r="M10" s="57"/>
      <x:c r="N10" s="57"/>
      <x:c r="O10" s="57"/>
      <x:c r="P10" s="57"/>
      <x:c r="Q10" s="57"/>
      <x:c r="R10" s="57"/>
      <x:c r="S10" s="57"/>
      <x:c r="T10" s="57"/>
      <x:c r="U10" s="57"/>
      <x:c r="V10" s="57"/>
      <x:c r="W10" s="57"/>
      <x:c r="X10" s="57"/>
      <x:c r="Y10" s="57"/>
      <x:c r="Z10" s="57"/>
    </x:row>
    <x:row r="11">
      <x:c r="A11" s="325" t="n">
        <x:v>6</x:v>
      </x:c>
      <x:c r="B11" s="325" t="str">
        <x:v>Материалы кейса</x:v>
      </x:c>
      <x:c r="C11" s="325" t="str">
        <x:v>Незамеченный простой</x:v>
      </x:c>
      <x:c r="D11" s="325" t="str">
        <x:v>14 мин; 3,2 млн ₽/инцидент</x:v>
      </x:c>
      <x:c r="E11" s="325" t="str">
        <x:v>Факт кейса</x:v>
      </x:c>
      <x:c r="F11" s="325" t="str">
        <x:v>Стоимость минуты рассчитана линейно</x:v>
      </x:c>
      <x:c r="G11" s="57"/>
      <x:c r="H11" s="57"/>
      <x:c r="I11" s="57"/>
      <x:c r="J11" s="57"/>
      <x:c r="K11" s="57"/>
      <x:c r="L11" s="57"/>
      <x:c r="M11" s="57"/>
      <x:c r="N11" s="57"/>
      <x:c r="O11" s="57"/>
      <x:c r="P11" s="57"/>
      <x:c r="Q11" s="57"/>
      <x:c r="R11" s="57"/>
      <x:c r="S11" s="57"/>
      <x:c r="T11" s="57"/>
      <x:c r="U11" s="57"/>
      <x:c r="V11" s="57"/>
      <x:c r="W11" s="57"/>
      <x:c r="X11" s="57"/>
      <x:c r="Y11" s="57"/>
      <x:c r="Z11" s="57"/>
    </x:row>
    <x:row r="12">
      <x:c r="A12" s="325" t="n">
        <x:v>7</x:v>
      </x:c>
      <x:c r="B12" s="325" t="str">
        <x:v>Целевая модель</x:v>
      </x:c>
      <x:c r="C12" s="325" t="str">
        <x:v>Сокращение ручной фильтрации</x:v>
      </x:c>
      <x:c r="D12" s="325" t="str">
        <x:v>60%</x:v>
      </x:c>
      <x:c r="E12" s="325" t="str">
        <x:v>Цель</x:v>
      </x:c>
      <x:c r="F12" s="325" t="str">
        <x:v>Для консервативной оценки можно установить 50%</x:v>
      </x:c>
      <x:c r="G12" s="57"/>
      <x:c r="H12" s="57"/>
      <x:c r="I12" s="57"/>
      <x:c r="J12" s="57"/>
      <x:c r="K12" s="57"/>
      <x:c r="L12" s="57"/>
      <x:c r="M12" s="57"/>
      <x:c r="N12" s="57"/>
      <x:c r="O12" s="57"/>
      <x:c r="P12" s="57"/>
      <x:c r="Q12" s="57"/>
      <x:c r="R12" s="57"/>
      <x:c r="S12" s="57"/>
      <x:c r="T12" s="57"/>
      <x:c r="U12" s="57"/>
      <x:c r="V12" s="57"/>
      <x:c r="W12" s="57"/>
      <x:c r="X12" s="57"/>
      <x:c r="Y12" s="57"/>
      <x:c r="Z12" s="57"/>
    </x:row>
    <x:row r="13">
      <x:c r="A13" s="325" t="n">
        <x:v>8</x:v>
      </x:c>
      <x:c r="B13" s="325" t="str">
        <x:v>Проектная спецификация</x:v>
      </x:c>
      <x:c r="C13" s="325" t="str">
        <x:v>Целевой незамеченный простой</x:v>
      </x:c>
      <x:c r="D13" s="325" t="str">
        <x:v>около 4 мин</x:v>
      </x:c>
      <x:c r="E13" s="325" t="str">
        <x:v>Цель</x:v>
      </x:c>
      <x:c r="F13" s="325" t="str">
        <x:v>Не является результатом промышленного A/B-теста</x:v>
      </x:c>
      <x:c r="G13" s="57"/>
      <x:c r="H13" s="57"/>
      <x:c r="I13" s="57"/>
      <x:c r="J13" s="57"/>
      <x:c r="K13" s="57"/>
      <x:c r="L13" s="57"/>
      <x:c r="M13" s="57"/>
      <x:c r="N13" s="57"/>
      <x:c r="O13" s="57"/>
      <x:c r="P13" s="57"/>
      <x:c r="Q13" s="57"/>
      <x:c r="R13" s="57"/>
      <x:c r="S13" s="57"/>
      <x:c r="T13" s="57"/>
      <x:c r="U13" s="57"/>
      <x:c r="V13" s="57"/>
      <x:c r="W13" s="57"/>
      <x:c r="X13" s="57"/>
      <x:c r="Y13" s="57"/>
      <x:c r="Z13" s="57"/>
    </x:row>
    <x:row r="14">
      <x:c r="A14" s="325" t="n">
        <x:v>9</x:v>
      </x:c>
      <x:c r="B14" s="325" t="str">
        <x:v>Проектная спецификация</x:v>
      </x:c>
      <x:c r="C14" s="325" t="str">
        <x:v>Инфраструктура</x:v>
      </x:c>
      <x:c r="D14" s="325" t="str">
        <x:v>1,5–2,0 млн ₽</x:v>
      </x:c>
      <x:c r="E14" s="325" t="str">
        <x:v>Диапазон</x:v>
      </x:c>
      <x:c r="F14" s="325" t="str">
        <x:v>В модели используется середина диапазона</x:v>
      </x:c>
      <x:c r="G14" s="57"/>
      <x:c r="H14" s="57"/>
      <x:c r="I14" s="57"/>
      <x:c r="J14" s="57"/>
      <x:c r="K14" s="57"/>
      <x:c r="L14" s="57"/>
      <x:c r="M14" s="57"/>
      <x:c r="N14" s="57"/>
      <x:c r="O14" s="57"/>
      <x:c r="P14" s="57"/>
      <x:c r="Q14" s="57"/>
      <x:c r="R14" s="57"/>
      <x:c r="S14" s="57"/>
      <x:c r="T14" s="57"/>
      <x:c r="U14" s="57"/>
      <x:c r="V14" s="57"/>
      <x:c r="W14" s="57"/>
      <x:c r="X14" s="57"/>
      <x:c r="Y14" s="57"/>
      <x:c r="Z14" s="57"/>
    </x:row>
    <x:row r="15">
      <x:c r="A15" s="325" t="n">
        <x:v>10</x:v>
      </x:c>
      <x:c r="B15" s="325" t="str">
        <x:v>Материалы кейса и техническая оптимизация</x:v>
      </x:c>
      <x:c r="C15" s="325" t="str">
        <x:v>GPU</x:v>
      </x:c>
      <x:c r="D15" s="325" t="str">
        <x:v>400 тыс. ₽ исходно; 200 тыс. ₽ экономия</x:v>
      </x:c>
      <x:c r="E15" s="325" t="str">
        <x:v>Оценка</x:v>
      </x:c>
      <x:c r="F15" s="325" t="str">
        <x:v>Включение регулируется переключателем</x:v>
      </x:c>
      <x:c r="G15" s="57"/>
      <x:c r="H15" s="57"/>
      <x:c r="I15" s="57"/>
      <x:c r="J15" s="57"/>
      <x:c r="K15" s="57"/>
      <x:c r="L15" s="57"/>
      <x:c r="M15" s="57"/>
      <x:c r="N15" s="57"/>
      <x:c r="O15" s="57"/>
      <x:c r="P15" s="57"/>
      <x:c r="Q15" s="57"/>
      <x:c r="R15" s="57"/>
      <x:c r="S15" s="57"/>
      <x:c r="T15" s="57"/>
      <x:c r="U15" s="57"/>
      <x:c r="V15" s="57"/>
      <x:c r="W15" s="57"/>
      <x:c r="X15" s="57"/>
      <x:c r="Y15" s="57"/>
      <x:c r="Z15" s="57"/>
    </x:row>
    <x:row r="16">
      <x:c r="A16" s="325" t="n">
        <x:v>11</x:v>
      </x:c>
      <x:c r="B16" s="325" t="str">
        <x:v>Проектная спецификация</x:v>
      </x:c>
      <x:c r="C16" s="325" t="str">
        <x:v>Команда и срок</x:v>
      </x:c>
      <x:c r="D16" s="325" t="str">
        <x:v>4–5 человек; 6 месяцев</x:v>
      </x:c>
      <x:c r="E16" s="325" t="str">
        <x:v>Диапазон</x:v>
      </x:c>
      <x:c r="F16" s="325" t="str">
        <x:v>В базовой модели 5 человек</x:v>
      </x:c>
      <x:c r="G16" s="57"/>
      <x:c r="H16" s="57"/>
      <x:c r="I16" s="57"/>
      <x:c r="J16" s="57"/>
      <x:c r="K16" s="57"/>
      <x:c r="L16" s="57"/>
      <x:c r="M16" s="57"/>
      <x:c r="N16" s="57"/>
      <x:c r="O16" s="57"/>
      <x:c r="P16" s="57"/>
      <x:c r="Q16" s="57"/>
      <x:c r="R16" s="57"/>
      <x:c r="S16" s="57"/>
      <x:c r="T16" s="57"/>
      <x:c r="U16" s="57"/>
      <x:c r="V16" s="57"/>
      <x:c r="W16" s="57"/>
      <x:c r="X16" s="57"/>
      <x:c r="Y16" s="57"/>
      <x:c r="Z16" s="57"/>
    </x:row>
    <x:row r="17">
      <x:c r="A17" s="325" t="n">
        <x:v>12</x:v>
      </x:c>
      <x:c r="B17" s="325" t="str">
        <x:v>Пилотные измерения</x:v>
      </x:c>
      <x:c r="C17" s="325" t="str">
        <x:v>Производительность и доставка</x:v>
      </x:c>
      <x:c r="D17" s="325" t="str">
        <x:v>225 событий/с; 99,2% доставки</x:v>
      </x:c>
      <x:c r="E17" s="325" t="str">
        <x:v>Технический факт</x:v>
      </x:c>
      <x:c r="F17" s="325" t="str">
        <x:v>Подтверждает техническую реализуемость, не заменяет финансовый эффект</x:v>
      </x:c>
      <x:c r="G17" s="57"/>
      <x:c r="H17" s="57"/>
      <x:c r="I17" s="57"/>
      <x:c r="J17" s="57"/>
      <x:c r="K17" s="57"/>
      <x:c r="L17" s="57"/>
      <x:c r="M17" s="57"/>
      <x:c r="N17" s="57"/>
      <x:c r="O17" s="57"/>
      <x:c r="P17" s="57"/>
      <x:c r="Q17" s="57"/>
      <x:c r="R17" s="57"/>
      <x:c r="S17" s="57"/>
      <x:c r="T17" s="57"/>
      <x:c r="U17" s="57"/>
      <x:c r="V17" s="57"/>
      <x:c r="W17" s="57"/>
      <x:c r="X17" s="57"/>
      <x:c r="Y17" s="57"/>
      <x:c r="Z17" s="57"/>
    </x:row>
    <x:row r="18">
      <x:c r="A18" s="325" t="n">
        <x:v>13</x:v>
      </x:c>
      <x:c r="B18" s="325" t="str">
        <x:v>Проектная оценка</x:v>
      </x:c>
      <x:c r="C18" s="325" t="str">
        <x:v>Инциденты, OPEX, обучение</x:v>
      </x:c>
      <x:c r="D18" s="325" t="str">
        <x:v>Сценарные значения</x:v>
      </x:c>
      <x:c r="E18" s="325" t="str">
        <x:v>Допущение</x:v>
      </x:c>
      <x:c r="F18" s="325" t="str">
        <x:v>Обязательно провести чувствительность и заменить фактом</x:v>
      </x:c>
      <x:c r="G18" s="57"/>
      <x:c r="H18" s="57"/>
      <x:c r="I18" s="57"/>
      <x:c r="J18" s="57"/>
      <x:c r="K18" s="57"/>
      <x:c r="L18" s="57"/>
      <x:c r="M18" s="57"/>
      <x:c r="N18" s="57"/>
      <x:c r="O18" s="57"/>
      <x:c r="P18" s="57"/>
      <x:c r="Q18" s="57"/>
      <x:c r="R18" s="57"/>
      <x:c r="S18" s="57"/>
      <x:c r="T18" s="57"/>
      <x:c r="U18" s="57"/>
      <x:c r="V18" s="57"/>
      <x:c r="W18" s="57"/>
      <x:c r="X18" s="57"/>
      <x:c r="Y18" s="57"/>
      <x:c r="Z18" s="57"/>
    </x:row>
    <x:row r="19">
      <x:c r="A19" s="325" t="n">
        <x:v>14</x:v>
      </x:c>
      <x:c r="B19" s="325" t="str">
        <x:v>Настоящая модель</x:v>
      </x:c>
      <x:c r="C19" s="325" t="str">
        <x:v>Денежный поток</x:v>
      </x:c>
      <x:c r="D19" s="325" t="str">
        <x:v>36 месяцев</x:v>
      </x:c>
      <x:c r="E19" s="325" t="str">
        <x:v>Расчет</x:v>
      </x:c>
      <x:c r="F19" s="325" t="str">
        <x:v>Выгоды стартуют после 6 месяцев реализации</x:v>
      </x:c>
      <x:c r="G19" s="57"/>
      <x:c r="H19" s="57"/>
      <x:c r="I19" s="57"/>
      <x:c r="J19" s="57"/>
      <x:c r="K19" s="57"/>
      <x:c r="L19" s="57"/>
      <x:c r="M19" s="57"/>
      <x:c r="N19" s="57"/>
      <x:c r="O19" s="57"/>
      <x:c r="P19" s="57"/>
      <x:c r="Q19" s="57"/>
      <x:c r="R19" s="57"/>
      <x:c r="S19" s="57"/>
      <x:c r="T19" s="57"/>
      <x:c r="U19" s="57"/>
      <x:c r="V19" s="57"/>
      <x:c r="W19" s="57"/>
      <x:c r="X19" s="57"/>
      <x:c r="Y19" s="57"/>
      <x:c r="Z19" s="57"/>
    </x:row>
    <x:row r="20">
      <x:c r="A20" s="57"/>
      <x:c r="B20" s="57"/>
      <x:c r="C20" s="57"/>
      <x:c r="D20" s="57"/>
      <x:c r="E20" s="57"/>
      <x:c r="F20" s="57"/>
      <x:c r="G20" s="57"/>
      <x:c r="H20" s="57"/>
      <x:c r="I20" s="57"/>
      <x:c r="J20" s="57"/>
      <x:c r="K20" s="57"/>
      <x:c r="L20" s="57"/>
      <x:c r="M20" s="57"/>
      <x:c r="N20" s="57"/>
      <x:c r="O20" s="57"/>
      <x:c r="P20" s="57"/>
      <x:c r="Q20" s="57"/>
      <x:c r="R20" s="57"/>
      <x:c r="S20" s="57"/>
      <x:c r="T20" s="57"/>
      <x:c r="U20" s="57"/>
      <x:c r="V20" s="57"/>
      <x:c r="W20" s="57"/>
      <x:c r="X20" s="57"/>
      <x:c r="Y20" s="57"/>
      <x:c r="Z20" s="57"/>
    </x:row>
    <x:row r="21">
      <x:c r="A21" s="59" t="str">
        <x:v>Ограничения инвестиционного решения</x:v>
      </x:c>
      <x:c r="B21" s="59"/>
      <x:c r="C21" s="59"/>
      <x:c r="D21" s="59"/>
      <x:c r="E21" s="59"/>
      <x:c r="F21" s="59"/>
      <x:c r="G21" s="57"/>
      <x:c r="H21" s="57"/>
      <x:c r="I21" s="57"/>
      <x:c r="J21" s="57"/>
      <x:c r="K21" s="57"/>
      <x:c r="L21" s="57"/>
      <x:c r="M21" s="57"/>
      <x:c r="N21" s="57"/>
      <x:c r="O21" s="57"/>
      <x:c r="P21" s="57"/>
      <x:c r="Q21" s="57"/>
      <x:c r="R21" s="57"/>
      <x:c r="S21" s="57"/>
      <x:c r="T21" s="57"/>
      <x:c r="U21" s="57"/>
      <x:c r="V21" s="57"/>
      <x:c r="W21" s="57"/>
      <x:c r="X21" s="57"/>
      <x:c r="Y21" s="57"/>
      <x:c r="Z21" s="57"/>
    </x:row>
    <x:row r="22">
      <x:c r="A22" s="326" t="str">
        <x:v>Расчеты предназначены для учебной защиты проекта. Они не учитывают налоги, инфляцию, стоимость капитала предприятия, изменение штата, страховые выплаты, штрафы регуляторов, последствия промышленной безопасности и нелинейность ущерба от простоя. Перед закупкой необходимы коммерческие предложения, фактическая статистика критических инцидентов, нормирование трудозатрат, подтверждение лицензионных условий, акт пилота и финансовое согласование эффектов с владельцами бизнес-процессов.</x:v>
      </x:c>
      <x:c r="B22" s="326"/>
      <x:c r="C22" s="326"/>
      <x:c r="D22" s="326"/>
      <x:c r="E22" s="326"/>
      <x:c r="F22" s="326"/>
      <x:c r="G22" s="57"/>
      <x:c r="H22" s="57"/>
      <x:c r="I22" s="57"/>
      <x:c r="J22" s="57"/>
      <x:c r="K22" s="57"/>
      <x:c r="L22" s="57"/>
      <x:c r="M22" s="57"/>
      <x:c r="N22" s="57"/>
      <x:c r="O22" s="57"/>
      <x:c r="P22" s="57"/>
      <x:c r="Q22" s="57"/>
      <x:c r="R22" s="57"/>
      <x:c r="S22" s="57"/>
      <x:c r="T22" s="57"/>
      <x:c r="U22" s="57"/>
      <x:c r="V22" s="57"/>
      <x:c r="W22" s="57"/>
      <x:c r="X22" s="57"/>
      <x:c r="Y22" s="57"/>
      <x:c r="Z22" s="57"/>
    </x:row>
    <x:row r="23">
      <x:c r="A23" s="326"/>
      <x:c r="B23" s="326"/>
      <x:c r="C23" s="326"/>
      <x:c r="D23" s="326"/>
      <x:c r="E23" s="326"/>
      <x:c r="F23" s="326"/>
      <x:c r="G23" s="57"/>
      <x:c r="H23" s="57"/>
      <x:c r="I23" s="57"/>
      <x:c r="J23" s="57"/>
      <x:c r="K23" s="57"/>
      <x:c r="L23" s="57"/>
      <x:c r="M23" s="57"/>
      <x:c r="N23" s="57"/>
      <x:c r="O23" s="57"/>
      <x:c r="P23" s="57"/>
      <x:c r="Q23" s="57"/>
      <x:c r="R23" s="57"/>
      <x:c r="S23" s="57"/>
      <x:c r="T23" s="57"/>
      <x:c r="U23" s="57"/>
      <x:c r="V23" s="57"/>
      <x:c r="W23" s="57"/>
      <x:c r="X23" s="57"/>
      <x:c r="Y23" s="57"/>
      <x:c r="Z23" s="57"/>
    </x:row>
    <x:row r="24">
      <x:c r="A24" s="326"/>
      <x:c r="B24" s="326"/>
      <x:c r="C24" s="326"/>
      <x:c r="D24" s="326"/>
      <x:c r="E24" s="326"/>
      <x:c r="F24" s="326"/>
      <x:c r="G24" s="57"/>
      <x:c r="H24" s="57"/>
      <x:c r="I24" s="57"/>
      <x:c r="J24" s="57"/>
      <x:c r="K24" s="57"/>
      <x:c r="L24" s="57"/>
      <x:c r="M24" s="57"/>
      <x:c r="N24" s="57"/>
      <x:c r="O24" s="57"/>
      <x:c r="P24" s="57"/>
      <x:c r="Q24" s="57"/>
      <x:c r="R24" s="57"/>
      <x:c r="S24" s="57"/>
      <x:c r="T24" s="57"/>
      <x:c r="U24" s="57"/>
      <x:c r="V24" s="57"/>
      <x:c r="W24" s="57"/>
      <x:c r="X24" s="57"/>
      <x:c r="Y24" s="57"/>
      <x:c r="Z24" s="57"/>
    </x:row>
    <x:row r="25">
      <x:c r="A25" s="326"/>
      <x:c r="B25" s="326"/>
      <x:c r="C25" s="326"/>
      <x:c r="D25" s="326"/>
      <x:c r="E25" s="326"/>
      <x:c r="F25" s="326"/>
      <x:c r="G25" s="57"/>
      <x:c r="H25" s="57"/>
      <x:c r="I25" s="57"/>
      <x:c r="J25" s="57"/>
      <x:c r="K25" s="57"/>
      <x:c r="L25" s="57"/>
      <x:c r="M25" s="57"/>
      <x:c r="N25" s="57"/>
      <x:c r="O25" s="57"/>
      <x:c r="P25" s="57"/>
      <x:c r="Q25" s="57"/>
      <x:c r="R25" s="57"/>
      <x:c r="S25" s="57"/>
      <x:c r="T25" s="57"/>
      <x:c r="U25" s="57"/>
      <x:c r="V25" s="57"/>
      <x:c r="W25" s="57"/>
      <x:c r="X25" s="57"/>
      <x:c r="Y25" s="57"/>
      <x:c r="Z25" s="57"/>
    </x:row>
    <x:row r="26">
      <x:c r="A26" s="326"/>
      <x:c r="B26" s="326"/>
      <x:c r="C26" s="326"/>
      <x:c r="D26" s="326"/>
      <x:c r="E26" s="326"/>
      <x:c r="F26" s="326"/>
      <x:c r="G26" s="57"/>
      <x:c r="H26" s="57"/>
      <x:c r="I26" s="57"/>
      <x:c r="J26" s="57"/>
      <x:c r="K26" s="57"/>
      <x:c r="L26" s="57"/>
      <x:c r="M26" s="57"/>
      <x:c r="N26" s="57"/>
      <x:c r="O26" s="57"/>
      <x:c r="P26" s="57"/>
      <x:c r="Q26" s="57"/>
      <x:c r="R26" s="57"/>
      <x:c r="S26" s="57"/>
      <x:c r="T26" s="57"/>
      <x:c r="U26" s="57"/>
      <x:c r="V26" s="57"/>
      <x:c r="W26" s="57"/>
      <x:c r="X26" s="57"/>
      <x:c r="Y26" s="57"/>
      <x:c r="Z26" s="57"/>
    </x:row>
    <x:row r="27">
      <x:c r="A27" s="326"/>
      <x:c r="B27" s="326"/>
      <x:c r="C27" s="326"/>
      <x:c r="D27" s="326"/>
      <x:c r="E27" s="326"/>
      <x:c r="F27" s="326"/>
      <x:c r="G27" s="57"/>
      <x:c r="H27" s="57"/>
      <x:c r="I27" s="57"/>
      <x:c r="J27" s="57"/>
      <x:c r="K27" s="57"/>
      <x:c r="L27" s="57"/>
      <x:c r="M27" s="57"/>
      <x:c r="N27" s="57"/>
      <x:c r="O27" s="57"/>
      <x:c r="P27" s="57"/>
      <x:c r="Q27" s="57"/>
      <x:c r="R27" s="57"/>
      <x:c r="S27" s="57"/>
      <x:c r="T27" s="57"/>
      <x:c r="U27" s="57"/>
      <x:c r="V27" s="57"/>
      <x:c r="W27" s="57"/>
      <x:c r="X27" s="57"/>
      <x:c r="Y27" s="57"/>
      <x:c r="Z27" s="57"/>
    </x:row>
    <x:row r="28">
      <x:c r="A28" s="57"/>
      <x:c r="B28" s="57"/>
      <x:c r="C28" s="57"/>
      <x:c r="D28" s="57"/>
      <x:c r="E28" s="57"/>
      <x:c r="F28" s="57"/>
      <x:c r="G28" s="57"/>
      <x:c r="H28" s="57"/>
      <x:c r="I28" s="57"/>
      <x:c r="J28" s="57"/>
      <x:c r="K28" s="57"/>
      <x:c r="L28" s="57"/>
      <x:c r="M28" s="57"/>
      <x:c r="N28" s="57"/>
      <x:c r="O28" s="57"/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>
      <x:c r="A29" s="57"/>
      <x:c r="B29" s="57"/>
      <x:c r="C29" s="57"/>
      <x:c r="D29" s="57"/>
      <x:c r="E29" s="57"/>
      <x:c r="F29" s="57"/>
      <x:c r="G29" s="57"/>
      <x:c r="H29" s="57"/>
      <x:c r="I29" s="57"/>
      <x:c r="J29" s="57"/>
      <x:c r="K29" s="57"/>
      <x:c r="L29" s="57"/>
      <x:c r="M29" s="57"/>
      <x:c r="N29" s="57"/>
      <x:c r="O29" s="57"/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>
      <x:c r="A30" s="57"/>
      <x:c r="B30" s="57"/>
      <x:c r="C30" s="57"/>
      <x:c r="D30" s="57"/>
      <x:c r="E30" s="57"/>
      <x:c r="F30" s="57"/>
      <x:c r="G30" s="57"/>
      <x:c r="H30" s="57"/>
      <x:c r="I30" s="57"/>
      <x:c r="J30" s="57"/>
      <x:c r="K30" s="57"/>
      <x:c r="L30" s="57"/>
      <x:c r="M30" s="57"/>
      <x:c r="N30" s="57"/>
      <x:c r="O30" s="57"/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>
      <x:c r="A31" s="57"/>
      <x:c r="B31" s="57"/>
      <x:c r="C31" s="57"/>
      <x:c r="D31" s="57"/>
      <x:c r="E31" s="57"/>
      <x:c r="F31" s="57"/>
      <x:c r="G31" s="57"/>
      <x:c r="H31" s="57"/>
      <x:c r="I31" s="57"/>
      <x:c r="J31" s="57"/>
      <x:c r="K31" s="57"/>
      <x:c r="L31" s="57"/>
      <x:c r="M31" s="57"/>
      <x:c r="N31" s="57"/>
      <x:c r="O31" s="57"/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>
      <x:c r="A32" s="57"/>
      <x:c r="B32" s="57"/>
      <x:c r="C32" s="57"/>
      <x:c r="D32" s="57"/>
      <x:c r="E32" s="57"/>
      <x:c r="F32" s="57"/>
      <x:c r="G32" s="57"/>
      <x:c r="H32" s="57"/>
      <x:c r="I32" s="57"/>
      <x:c r="J32" s="57"/>
      <x:c r="K32" s="57"/>
      <x:c r="L32" s="57"/>
      <x:c r="M32" s="57"/>
      <x:c r="N32" s="57"/>
      <x:c r="O32" s="57"/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>
      <x:c r="A33" s="57"/>
      <x:c r="B33" s="57"/>
      <x:c r="C33" s="57"/>
      <x:c r="D33" s="57"/>
      <x:c r="E33" s="57"/>
      <x:c r="F33" s="57"/>
      <x:c r="G33" s="57"/>
      <x:c r="H33" s="57"/>
      <x:c r="I33" s="57"/>
      <x:c r="J33" s="57"/>
      <x:c r="K33" s="57"/>
      <x:c r="L33" s="57"/>
      <x:c r="M33" s="57"/>
      <x:c r="N33" s="57"/>
      <x:c r="O33" s="57"/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>
      <x:c r="A34" s="57"/>
      <x:c r="B34" s="57"/>
      <x:c r="C34" s="57"/>
      <x:c r="D34" s="57"/>
      <x:c r="E34" s="57"/>
      <x:c r="F34" s="57"/>
      <x:c r="G34" s="57"/>
      <x:c r="H34" s="57"/>
      <x:c r="I34" s="57"/>
      <x:c r="J34" s="57"/>
      <x:c r="K34" s="57"/>
      <x:c r="L34" s="57"/>
      <x:c r="M34" s="57"/>
      <x:c r="N34" s="57"/>
      <x:c r="O34" s="57"/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>
      <x:c r="A35" s="57"/>
      <x:c r="B35" s="57"/>
      <x:c r="C35" s="57"/>
      <x:c r="D35" s="57"/>
      <x:c r="E35" s="57"/>
      <x:c r="F35" s="57"/>
      <x:c r="G35" s="57"/>
      <x:c r="H35" s="57"/>
      <x:c r="I35" s="57"/>
      <x:c r="J35" s="57"/>
      <x:c r="K35" s="57"/>
      <x:c r="L35" s="57"/>
      <x:c r="M35" s="57"/>
      <x:c r="N35" s="57"/>
      <x:c r="O35" s="57"/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>
      <x:c r="A36" s="57"/>
      <x:c r="B36" s="57"/>
      <x:c r="C36" s="57"/>
      <x:c r="D36" s="57"/>
      <x:c r="E36" s="57"/>
      <x:c r="F36" s="57"/>
      <x:c r="G36" s="57"/>
      <x:c r="H36" s="57"/>
      <x:c r="I36" s="57"/>
      <x:c r="J36" s="57"/>
      <x:c r="K36" s="57"/>
      <x:c r="L36" s="57"/>
      <x:c r="M36" s="57"/>
      <x:c r="N36" s="57"/>
      <x:c r="O36" s="57"/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>
      <x:c r="A37" s="57"/>
      <x:c r="B37" s="57"/>
      <x:c r="C37" s="57"/>
      <x:c r="D37" s="57"/>
      <x:c r="E37" s="57"/>
      <x:c r="F37" s="57"/>
      <x:c r="G37" s="57"/>
      <x:c r="H37" s="57"/>
      <x:c r="I37" s="57"/>
      <x:c r="J37" s="57"/>
      <x:c r="K37" s="57"/>
      <x:c r="L37" s="57"/>
      <x:c r="M37" s="57"/>
      <x:c r="N37" s="57"/>
      <x:c r="O37" s="57"/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>
      <x:c r="A38" s="57"/>
      <x:c r="B38" s="57"/>
      <x:c r="C38" s="57"/>
      <x:c r="D38" s="57"/>
      <x:c r="E38" s="57"/>
      <x:c r="F38" s="57"/>
      <x:c r="G38" s="57"/>
      <x:c r="H38" s="57"/>
      <x:c r="I38" s="57"/>
      <x:c r="J38" s="57"/>
      <x:c r="K38" s="57"/>
      <x:c r="L38" s="57"/>
      <x:c r="M38" s="57"/>
      <x:c r="N38" s="57"/>
      <x:c r="O38" s="57"/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>
      <x:c r="A39" s="57"/>
      <x:c r="B39" s="57"/>
      <x:c r="C39" s="57"/>
      <x:c r="D39" s="57"/>
      <x:c r="E39" s="57"/>
      <x:c r="F39" s="57"/>
      <x:c r="G39" s="57"/>
      <x:c r="H39" s="57"/>
      <x:c r="I39" s="57"/>
      <x:c r="J39" s="57"/>
      <x:c r="K39" s="57"/>
      <x:c r="L39" s="57"/>
      <x:c r="M39" s="57"/>
      <x:c r="N39" s="57"/>
      <x:c r="O39" s="57"/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>
      <x:c r="A40" s="57"/>
      <x:c r="B40" s="57"/>
      <x:c r="C40" s="57"/>
      <x:c r="D40" s="57"/>
      <x:c r="E40" s="57"/>
      <x:c r="F40" s="57"/>
      <x:c r="G40" s="57"/>
      <x:c r="H40" s="57"/>
      <x:c r="I40" s="57"/>
      <x:c r="J40" s="57"/>
      <x:c r="K40" s="57"/>
      <x:c r="L40" s="57"/>
      <x:c r="M40" s="57"/>
      <x:c r="N40" s="57"/>
      <x:c r="O40" s="57"/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>
      <x:c r="A41" s="57"/>
      <x:c r="B41" s="57"/>
      <x:c r="C41" s="57"/>
      <x:c r="D41" s="57"/>
      <x:c r="E41" s="57"/>
      <x:c r="F41" s="57"/>
      <x:c r="G41" s="57"/>
      <x:c r="H41" s="57"/>
      <x:c r="I41" s="57"/>
      <x:c r="J41" s="57"/>
      <x:c r="K41" s="57"/>
      <x:c r="L41" s="57"/>
      <x:c r="M41" s="57"/>
      <x:c r="N41" s="57"/>
      <x:c r="O41" s="57"/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>
      <x:c r="A42" s="57"/>
      <x:c r="B42" s="57"/>
      <x:c r="C42" s="57"/>
      <x:c r="D42" s="57"/>
      <x:c r="E42" s="57"/>
      <x:c r="F42" s="57"/>
      <x:c r="G42" s="57"/>
      <x:c r="H42" s="57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>
      <x:c r="A43" s="57"/>
      <x:c r="B43" s="57"/>
      <x:c r="C43" s="57"/>
      <x:c r="D43" s="57"/>
      <x:c r="E43" s="57"/>
      <x:c r="F43" s="57"/>
      <x:c r="G43" s="57"/>
      <x:c r="H43" s="57"/>
      <x:c r="I43" s="57"/>
      <x:c r="J43" s="57"/>
      <x:c r="K43" s="57"/>
      <x:c r="L43" s="57"/>
      <x:c r="M43" s="57"/>
      <x:c r="N43" s="57"/>
      <x:c r="O43" s="57"/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>
      <x:c r="A44" s="57"/>
      <x:c r="B44" s="57"/>
      <x:c r="C44" s="57"/>
      <x:c r="D44" s="57"/>
      <x:c r="E44" s="57"/>
      <x:c r="F44" s="57"/>
      <x:c r="G44" s="57"/>
      <x:c r="H44" s="57"/>
      <x:c r="I44" s="57"/>
      <x:c r="J44" s="57"/>
      <x:c r="K44" s="57"/>
      <x:c r="L44" s="57"/>
      <x:c r="M44" s="57"/>
      <x:c r="N44" s="57"/>
      <x:c r="O44" s="57"/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>
      <x:c r="A45" s="57"/>
      <x:c r="B45" s="57"/>
      <x:c r="C45" s="57"/>
      <x:c r="D45" s="57"/>
      <x:c r="E45" s="57"/>
      <x:c r="F45" s="57"/>
      <x:c r="G45" s="57"/>
      <x:c r="H45" s="57"/>
      <x:c r="I45" s="57"/>
      <x:c r="J45" s="57"/>
      <x:c r="K45" s="57"/>
      <x:c r="L45" s="57"/>
      <x:c r="M45" s="57"/>
      <x:c r="N45" s="57"/>
      <x:c r="O45" s="57"/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>
      <x:c r="A46" s="57"/>
      <x:c r="B46" s="57"/>
      <x:c r="C46" s="57"/>
      <x:c r="D46" s="57"/>
      <x:c r="E46" s="57"/>
      <x:c r="F46" s="57"/>
      <x:c r="G46" s="57"/>
      <x:c r="H46" s="57"/>
      <x:c r="I46" s="57"/>
      <x:c r="J46" s="57"/>
      <x:c r="K46" s="57"/>
      <x:c r="L46" s="57"/>
      <x:c r="M46" s="57"/>
      <x:c r="N46" s="57"/>
      <x:c r="O46" s="57"/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>
      <x:c r="A47" s="57"/>
      <x:c r="B47" s="57"/>
      <x:c r="C47" s="57"/>
      <x:c r="D47" s="57"/>
      <x:c r="E47" s="57"/>
      <x:c r="F47" s="57"/>
      <x:c r="G47" s="57"/>
      <x:c r="H47" s="57"/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>
      <x:c r="A48" s="57"/>
      <x:c r="B48" s="57"/>
      <x:c r="C48" s="57"/>
      <x:c r="D48" s="57"/>
      <x:c r="E48" s="57"/>
      <x:c r="F48" s="57"/>
      <x:c r="G48" s="57"/>
      <x:c r="H48" s="57"/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>
      <x:c r="A49" s="57"/>
      <x:c r="B49" s="57"/>
      <x:c r="C49" s="57"/>
      <x:c r="D49" s="57"/>
      <x:c r="E49" s="57"/>
      <x:c r="F49" s="57"/>
      <x:c r="G49" s="57"/>
      <x:c r="H49" s="57"/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>
      <x:c r="A50" s="57"/>
      <x:c r="B50" s="57"/>
      <x:c r="C50" s="57"/>
      <x:c r="D50" s="57"/>
      <x:c r="E50" s="57"/>
      <x:c r="F50" s="57"/>
      <x:c r="G50" s="57"/>
      <x:c r="H50" s="57"/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>
      <x:c r="A51" s="57"/>
      <x:c r="B51" s="57"/>
      <x:c r="C51" s="57"/>
      <x:c r="D51" s="57"/>
      <x:c r="E51" s="57"/>
      <x:c r="F51" s="57"/>
      <x:c r="G51" s="57"/>
      <x:c r="H51" s="57"/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>
      <x:c r="A52" s="57"/>
      <x:c r="B52" s="57"/>
      <x:c r="C52" s="57"/>
      <x:c r="D52" s="57"/>
      <x:c r="E52" s="57"/>
      <x:c r="F52" s="57"/>
      <x:c r="G52" s="57"/>
      <x:c r="H52" s="57"/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>
      <x:c r="A53" s="57"/>
      <x:c r="B53" s="57"/>
      <x:c r="C53" s="57"/>
      <x:c r="D53" s="57"/>
      <x:c r="E53" s="57"/>
      <x:c r="F53" s="57"/>
      <x:c r="G53" s="57"/>
      <x:c r="H53" s="57"/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>
      <x:c r="A54" s="57"/>
      <x:c r="B54" s="57"/>
      <x:c r="C54" s="57"/>
      <x:c r="D54" s="57"/>
      <x:c r="E54" s="57"/>
      <x:c r="F54" s="57"/>
      <x:c r="G54" s="57"/>
      <x:c r="H54" s="57"/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>
      <x:c r="A55" s="57"/>
      <x:c r="B55" s="57"/>
      <x:c r="C55" s="57"/>
      <x:c r="D55" s="57"/>
      <x:c r="E55" s="57"/>
      <x:c r="F55" s="57"/>
      <x:c r="G55" s="57"/>
      <x:c r="H55" s="57"/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>
      <x:c r="A56" s="57"/>
      <x:c r="B56" s="57"/>
      <x:c r="C56" s="57"/>
      <x:c r="D56" s="57"/>
      <x:c r="E56" s="57"/>
      <x:c r="F56" s="57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>
      <x:c r="A57" s="57"/>
      <x:c r="B57" s="57"/>
      <x:c r="C57" s="57"/>
      <x:c r="D57" s="57"/>
      <x:c r="E57" s="57"/>
      <x:c r="F57" s="57"/>
      <x:c r="G57" s="57"/>
      <x:c r="H57" s="57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>
      <x:c r="A58" s="57"/>
      <x:c r="B58" s="57"/>
      <x:c r="C58" s="57"/>
      <x:c r="D58" s="57"/>
      <x:c r="E58" s="57"/>
      <x:c r="F58" s="57"/>
      <x:c r="G58" s="57"/>
      <x:c r="H58" s="57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>
      <x:c r="A59" s="57"/>
      <x:c r="B59" s="57"/>
      <x:c r="C59" s="57"/>
      <x:c r="D59" s="57"/>
      <x:c r="E59" s="57"/>
      <x:c r="F59" s="57"/>
      <x:c r="G59" s="57"/>
      <x:c r="H59" s="57"/>
      <x:c r="I59" s="57"/>
      <x:c r="J59" s="57"/>
      <x:c r="K59" s="57"/>
      <x:c r="L59" s="57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>
      <x:c r="A60" s="57"/>
      <x:c r="B60" s="57"/>
      <x:c r="C60" s="57"/>
      <x:c r="D60" s="57"/>
      <x:c r="E60" s="57"/>
      <x:c r="F60" s="57"/>
      <x:c r="G60" s="57"/>
      <x:c r="H60" s="57"/>
      <x:c r="I60" s="57"/>
      <x:c r="J60" s="57"/>
      <x:c r="K60" s="57"/>
      <x:c r="L60" s="57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>
      <x:c r="A61" s="57"/>
      <x:c r="B61" s="57"/>
      <x:c r="C61" s="57"/>
      <x:c r="D61" s="57"/>
      <x:c r="E61" s="57"/>
      <x:c r="F61" s="57"/>
      <x:c r="G61" s="57"/>
      <x:c r="H61" s="57"/>
      <x:c r="I61" s="57"/>
      <x:c r="J61" s="57"/>
      <x:c r="K61" s="57"/>
      <x:c r="L61" s="57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>
      <x:c r="A62" s="57"/>
      <x:c r="B62" s="57"/>
      <x:c r="C62" s="57"/>
      <x:c r="D62" s="57"/>
      <x:c r="E62" s="57"/>
      <x:c r="F62" s="57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>
      <x:c r="A63" s="57"/>
      <x:c r="B63" s="57"/>
      <x:c r="C63" s="57"/>
      <x:c r="D63" s="57"/>
      <x:c r="E63" s="57"/>
      <x:c r="F63" s="57"/>
      <x:c r="G63" s="57"/>
      <x:c r="H63" s="57"/>
      <x:c r="I63" s="57"/>
      <x:c r="J63" s="57"/>
      <x:c r="K63" s="57"/>
      <x:c r="L63" s="57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>
      <x:c r="A64" s="57"/>
      <x:c r="B64" s="57"/>
      <x:c r="C64" s="57"/>
      <x:c r="D64" s="57"/>
      <x:c r="E64" s="57"/>
      <x:c r="F64" s="57"/>
      <x:c r="G64" s="57"/>
      <x:c r="H64" s="57"/>
      <x:c r="I64" s="57"/>
      <x:c r="J64" s="57"/>
      <x:c r="K64" s="57"/>
      <x:c r="L64" s="57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>
      <x:c r="A65" s="57"/>
      <x:c r="B65" s="57"/>
      <x:c r="C65" s="57"/>
      <x:c r="D65" s="57"/>
      <x:c r="E65" s="57"/>
      <x:c r="F65" s="57"/>
      <x:c r="G65" s="57"/>
      <x:c r="H65" s="57"/>
      <x:c r="I65" s="57"/>
      <x:c r="J65" s="57"/>
      <x:c r="K65" s="57"/>
      <x:c r="L65" s="57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>
      <x:c r="A66" s="57"/>
      <x:c r="B66" s="57"/>
      <x:c r="C66" s="57"/>
      <x:c r="D66" s="57"/>
      <x:c r="E66" s="57"/>
      <x:c r="F66" s="57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>
      <x:c r="A67" s="57"/>
      <x:c r="B67" s="57"/>
      <x:c r="C67" s="57"/>
      <x:c r="D67" s="57"/>
      <x:c r="E67" s="57"/>
      <x:c r="F67" s="57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>
      <x:c r="A68" s="57"/>
      <x:c r="B68" s="57"/>
      <x:c r="C68" s="57"/>
      <x:c r="D68" s="57"/>
      <x:c r="E68" s="57"/>
      <x:c r="F68" s="57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>
      <x:c r="A69" s="57"/>
      <x:c r="B69" s="57"/>
      <x:c r="C69" s="57"/>
      <x:c r="D69" s="57"/>
      <x:c r="E69" s="57"/>
      <x:c r="F69" s="57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>
      <x:c r="A70" s="57"/>
      <x:c r="B70" s="57"/>
      <x:c r="C70" s="57"/>
      <x:c r="D70" s="57"/>
      <x:c r="E70" s="57"/>
      <x:c r="F70" s="57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>
      <x:c r="A71" s="57"/>
      <x:c r="B71" s="57"/>
      <x:c r="C71" s="57"/>
      <x:c r="D71" s="57"/>
      <x:c r="E71" s="57"/>
      <x:c r="F71" s="57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>
      <x:c r="A72" s="57"/>
      <x:c r="B72" s="57"/>
      <x:c r="C72" s="57"/>
      <x:c r="D72" s="57"/>
      <x:c r="E72" s="57"/>
      <x:c r="F72" s="57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>
      <x:c r="A73" s="57"/>
      <x:c r="B73" s="57"/>
      <x:c r="C73" s="57"/>
      <x:c r="D73" s="57"/>
      <x:c r="E73" s="57"/>
      <x:c r="F73" s="57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>
      <x:c r="A74" s="57"/>
      <x:c r="B74" s="57"/>
      <x:c r="C74" s="57"/>
      <x:c r="D74" s="57"/>
      <x:c r="E74" s="57"/>
      <x:c r="F74" s="57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>
      <x:c r="A75" s="57"/>
      <x:c r="B75" s="57"/>
      <x:c r="C75" s="57"/>
      <x:c r="D75" s="57"/>
      <x:c r="E75" s="57"/>
      <x:c r="F75" s="57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>
      <x:c r="A76" s="57"/>
      <x:c r="B76" s="57"/>
      <x:c r="C76" s="57"/>
      <x:c r="D76" s="57"/>
      <x:c r="E76" s="57"/>
      <x:c r="F76" s="57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>
      <x:c r="A77" s="57"/>
      <x:c r="B77" s="57"/>
      <x:c r="C77" s="57"/>
      <x:c r="D77" s="57"/>
      <x:c r="E77" s="57"/>
      <x:c r="F77" s="57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>
      <x:c r="A78" s="57"/>
      <x:c r="B78" s="57"/>
      <x:c r="C78" s="57"/>
      <x:c r="D78" s="57"/>
      <x:c r="E78" s="57"/>
      <x:c r="F78" s="57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>
      <x:c r="A79" s="57"/>
      <x:c r="B79" s="57"/>
      <x:c r="C79" s="57"/>
      <x:c r="D79" s="57"/>
      <x:c r="E79" s="57"/>
      <x:c r="F79" s="57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>
      <x:c r="A80" s="57"/>
      <x:c r="B80" s="57"/>
      <x:c r="C80" s="57"/>
      <x:c r="D80" s="57"/>
      <x:c r="E80" s="57"/>
      <x:c r="F80" s="57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>
      <x:c r="A81" s="57"/>
      <x:c r="B81" s="57"/>
      <x:c r="C81" s="57"/>
      <x:c r="D81" s="57"/>
      <x:c r="E81" s="57"/>
      <x:c r="F81" s="57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>
      <x:c r="A82" s="57"/>
      <x:c r="B82" s="57"/>
      <x:c r="C82" s="57"/>
      <x:c r="D82" s="57"/>
      <x:c r="E82" s="57"/>
      <x:c r="F82" s="57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>
      <x:c r="A83" s="57"/>
      <x:c r="B83" s="57"/>
      <x:c r="C83" s="57"/>
      <x:c r="D83" s="57"/>
      <x:c r="E83" s="57"/>
      <x:c r="F83" s="57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>
      <x:c r="A84" s="57"/>
      <x:c r="B84" s="57"/>
      <x:c r="C84" s="57"/>
      <x:c r="D84" s="57"/>
      <x:c r="E84" s="57"/>
      <x:c r="F84" s="57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>
      <x:c r="A85" s="57"/>
      <x:c r="B85" s="57"/>
      <x:c r="C85" s="57"/>
      <x:c r="D85" s="57"/>
      <x:c r="E85" s="57"/>
      <x:c r="F85" s="57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>
      <x:c r="A86" s="57"/>
      <x:c r="B86" s="57"/>
      <x:c r="C86" s="57"/>
      <x:c r="D86" s="57"/>
      <x:c r="E86" s="57"/>
      <x:c r="F86" s="57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>
      <x:c r="A87" s="57"/>
      <x:c r="B87" s="57"/>
      <x:c r="C87" s="57"/>
      <x:c r="D87" s="57"/>
      <x:c r="E87" s="57"/>
      <x:c r="F87" s="57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>
      <x:c r="A88" s="57"/>
      <x:c r="B88" s="57"/>
      <x:c r="C88" s="57"/>
      <x:c r="D88" s="57"/>
      <x:c r="E88" s="57"/>
      <x:c r="F88" s="57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>
      <x:c r="A89" s="57"/>
      <x:c r="B89" s="57"/>
      <x:c r="C89" s="57"/>
      <x:c r="D89" s="57"/>
      <x:c r="E89" s="57"/>
      <x:c r="F89" s="57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>
      <x:c r="A90" s="57"/>
      <x:c r="B90" s="57"/>
      <x:c r="C90" s="57"/>
      <x:c r="D90" s="57"/>
      <x:c r="E90" s="57"/>
      <x:c r="F90" s="57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>
      <x:c r="A91" s="57"/>
      <x:c r="B91" s="57"/>
      <x:c r="C91" s="57"/>
      <x:c r="D91" s="57"/>
      <x:c r="E91" s="57"/>
      <x:c r="F91" s="57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>
      <x:c r="A92" s="57"/>
      <x:c r="B92" s="57"/>
      <x:c r="C92" s="57"/>
      <x:c r="D92" s="57"/>
      <x:c r="E92" s="57"/>
      <x:c r="F92" s="57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>
      <x:c r="A93" s="57"/>
      <x:c r="B93" s="57"/>
      <x:c r="C93" s="57"/>
      <x:c r="D93" s="57"/>
      <x:c r="E93" s="57"/>
      <x:c r="F93" s="57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>
      <x:c r="A94" s="57"/>
      <x:c r="B94" s="57"/>
      <x:c r="C94" s="57"/>
      <x:c r="D94" s="57"/>
      <x:c r="E94" s="57"/>
      <x:c r="F94" s="57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>
      <x:c r="A95" s="57"/>
      <x:c r="B95" s="57"/>
      <x:c r="C95" s="57"/>
      <x:c r="D95" s="57"/>
      <x:c r="E95" s="57"/>
      <x:c r="F95" s="57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>
      <x:c r="A96" s="57"/>
      <x:c r="B96" s="57"/>
      <x:c r="C96" s="57"/>
      <x:c r="D96" s="57"/>
      <x:c r="E96" s="57"/>
      <x:c r="F96" s="57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>
      <x:c r="A97" s="57"/>
      <x:c r="B97" s="57"/>
      <x:c r="C97" s="57"/>
      <x:c r="D97" s="57"/>
      <x:c r="E97" s="57"/>
      <x:c r="F97" s="57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>
      <x:c r="A98" s="57"/>
      <x:c r="B98" s="57"/>
      <x:c r="C98" s="57"/>
      <x:c r="D98" s="57"/>
      <x:c r="E98" s="57"/>
      <x:c r="F98" s="57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>
      <x:c r="A99" s="57"/>
      <x:c r="B99" s="57"/>
      <x:c r="C99" s="57"/>
      <x:c r="D99" s="57"/>
      <x:c r="E99" s="57"/>
      <x:c r="F99" s="57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>
      <x:c r="A100" s="57"/>
      <x:c r="B100" s="57"/>
      <x:c r="C100" s="57"/>
      <x:c r="D100" s="57"/>
      <x:c r="E100" s="57"/>
      <x:c r="F100" s="57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>
      <x:c r="A101" s="57"/>
      <x:c r="B101" s="57"/>
      <x:c r="C101" s="57"/>
      <x:c r="D101" s="57"/>
      <x:c r="E101" s="57"/>
      <x:c r="F101" s="57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>
      <x:c r="A102" s="57"/>
      <x:c r="B102" s="57"/>
      <x:c r="C102" s="57"/>
      <x:c r="D102" s="57"/>
      <x:c r="E102" s="57"/>
      <x:c r="F102" s="57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>
      <x:c r="A103" s="57"/>
      <x:c r="B103" s="57"/>
      <x:c r="C103" s="57"/>
      <x:c r="D103" s="57"/>
      <x:c r="E103" s="57"/>
      <x:c r="F103" s="57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>
      <x:c r="A104" s="57"/>
      <x:c r="B104" s="57"/>
      <x:c r="C104" s="57"/>
      <x:c r="D104" s="57"/>
      <x:c r="E104" s="57"/>
      <x:c r="F104" s="57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>
      <x:c r="A105" s="57"/>
      <x:c r="B105" s="57"/>
      <x:c r="C105" s="57"/>
      <x:c r="D105" s="57"/>
      <x:c r="E105" s="57"/>
      <x:c r="F105" s="57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>
      <x:c r="A106" s="57"/>
      <x:c r="B106" s="57"/>
      <x:c r="C106" s="57"/>
      <x:c r="D106" s="57"/>
      <x:c r="E106" s="57"/>
      <x:c r="F106" s="57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>
      <x:c r="A107" s="57"/>
      <x:c r="B107" s="57"/>
      <x:c r="C107" s="57"/>
      <x:c r="D107" s="57"/>
      <x:c r="E107" s="57"/>
      <x:c r="F107" s="57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>
      <x:c r="A108" s="57"/>
      <x:c r="B108" s="57"/>
      <x:c r="C108" s="57"/>
      <x:c r="D108" s="57"/>
      <x:c r="E108" s="57"/>
      <x:c r="F108" s="57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>
      <x:c r="A109" s="57"/>
      <x:c r="B109" s="57"/>
      <x:c r="C109" s="57"/>
      <x:c r="D109" s="57"/>
      <x:c r="E109" s="57"/>
      <x:c r="F109" s="57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>
      <x:c r="A110" s="57"/>
      <x:c r="B110" s="57"/>
      <x:c r="C110" s="57"/>
      <x:c r="D110" s="57"/>
      <x:c r="E110" s="57"/>
      <x:c r="F110" s="57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>
      <x:c r="A111" s="57"/>
      <x:c r="B111" s="57"/>
      <x:c r="C111" s="57"/>
      <x:c r="D111" s="57"/>
      <x:c r="E111" s="57"/>
      <x:c r="F111" s="57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>
      <x:c r="A112" s="57"/>
      <x:c r="B112" s="57"/>
      <x:c r="C112" s="57"/>
      <x:c r="D112" s="57"/>
      <x:c r="E112" s="57"/>
      <x:c r="F112" s="57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>
      <x:c r="A113" s="57"/>
      <x:c r="B113" s="57"/>
      <x:c r="C113" s="57"/>
      <x:c r="D113" s="57"/>
      <x:c r="E113" s="57"/>
      <x:c r="F113" s="57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>
      <x:c r="A114" s="57"/>
      <x:c r="B114" s="57"/>
      <x:c r="C114" s="57"/>
      <x:c r="D114" s="57"/>
      <x:c r="E114" s="57"/>
      <x:c r="F114" s="57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>
      <x:c r="A115" s="57"/>
      <x:c r="B115" s="57"/>
      <x:c r="C115" s="57"/>
      <x:c r="D115" s="57"/>
      <x:c r="E115" s="57"/>
      <x:c r="F115" s="57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>
      <x:c r="A116" s="57"/>
      <x:c r="B116" s="57"/>
      <x:c r="C116" s="57"/>
      <x:c r="D116" s="57"/>
      <x:c r="E116" s="57"/>
      <x:c r="F116" s="57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>
      <x:c r="A117" s="57"/>
      <x:c r="B117" s="57"/>
      <x:c r="C117" s="57"/>
      <x:c r="D117" s="57"/>
      <x:c r="E117" s="57"/>
      <x:c r="F117" s="57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>
      <x:c r="A118" s="57"/>
      <x:c r="B118" s="57"/>
      <x:c r="C118" s="57"/>
      <x:c r="D118" s="57"/>
      <x:c r="E118" s="57"/>
      <x:c r="F118" s="57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>
      <x:c r="A119" s="57"/>
      <x:c r="B119" s="57"/>
      <x:c r="C119" s="57"/>
      <x:c r="D119" s="57"/>
      <x:c r="E119" s="57"/>
      <x:c r="F119" s="57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>
      <x:c r="A120" s="57"/>
      <x:c r="B120" s="57"/>
      <x:c r="C120" s="57"/>
      <x:c r="D120" s="57"/>
      <x:c r="E120" s="57"/>
      <x:c r="F120" s="57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>
      <x:c r="A121" s="57"/>
      <x:c r="B121" s="57"/>
      <x:c r="C121" s="57"/>
      <x:c r="D121" s="57"/>
      <x:c r="E121" s="57"/>
      <x:c r="F121" s="57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>
      <x:c r="A122" s="57"/>
      <x:c r="B122" s="57"/>
      <x:c r="C122" s="57"/>
      <x:c r="D122" s="57"/>
      <x:c r="E122" s="57"/>
      <x:c r="F122" s="57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>
      <x:c r="A123" s="57"/>
      <x:c r="B123" s="57"/>
      <x:c r="C123" s="57"/>
      <x:c r="D123" s="57"/>
      <x:c r="E123" s="57"/>
      <x:c r="F123" s="57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>
      <x:c r="A124" s="57"/>
      <x:c r="B124" s="57"/>
      <x:c r="C124" s="57"/>
      <x:c r="D124" s="57"/>
      <x:c r="E124" s="57"/>
      <x:c r="F124" s="57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>
      <x:c r="A125" s="57"/>
      <x:c r="B125" s="57"/>
      <x:c r="C125" s="57"/>
      <x:c r="D125" s="57"/>
      <x:c r="E125" s="57"/>
      <x:c r="F125" s="57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>
      <x:c r="A126" s="57"/>
      <x:c r="B126" s="57"/>
      <x:c r="C126" s="57"/>
      <x:c r="D126" s="57"/>
      <x:c r="E126" s="57"/>
      <x:c r="F126" s="57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>
      <x:c r="A127" s="57"/>
      <x:c r="B127" s="57"/>
      <x:c r="C127" s="57"/>
      <x:c r="D127" s="57"/>
      <x:c r="E127" s="57"/>
      <x:c r="F127" s="57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>
      <x:c r="A128" s="57"/>
      <x:c r="B128" s="57"/>
      <x:c r="C128" s="57"/>
      <x:c r="D128" s="57"/>
      <x:c r="E128" s="57"/>
      <x:c r="F128" s="57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>
      <x:c r="A129" s="57"/>
      <x:c r="B129" s="57"/>
      <x:c r="C129" s="57"/>
      <x:c r="D129" s="57"/>
      <x:c r="E129" s="57"/>
      <x:c r="F129" s="57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>
      <x:c r="A130" s="57"/>
      <x:c r="B130" s="57"/>
      <x:c r="C130" s="57"/>
      <x:c r="D130" s="57"/>
      <x:c r="E130" s="57"/>
      <x:c r="F130" s="57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>
      <x:c r="A131" s="57"/>
      <x:c r="B131" s="57"/>
      <x:c r="C131" s="57"/>
      <x:c r="D131" s="57"/>
      <x:c r="E131" s="57"/>
      <x:c r="F131" s="57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>
      <x:c r="A132" s="57"/>
      <x:c r="B132" s="57"/>
      <x:c r="C132" s="57"/>
      <x:c r="D132" s="57"/>
      <x:c r="E132" s="57"/>
      <x:c r="F132" s="57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>
      <x:c r="A133" s="57"/>
      <x:c r="B133" s="57"/>
      <x:c r="C133" s="57"/>
      <x:c r="D133" s="57"/>
      <x:c r="E133" s="57"/>
      <x:c r="F133" s="57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>
      <x:c r="A134" s="57"/>
      <x:c r="B134" s="57"/>
      <x:c r="C134" s="57"/>
      <x:c r="D134" s="57"/>
      <x:c r="E134" s="57"/>
      <x:c r="F134" s="57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>
      <x:c r="A135" s="57"/>
      <x:c r="B135" s="57"/>
      <x:c r="C135" s="57"/>
      <x:c r="D135" s="57"/>
      <x:c r="E135" s="57"/>
      <x:c r="F135" s="57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>
      <x:c r="A136" s="57"/>
      <x:c r="B136" s="57"/>
      <x:c r="C136" s="57"/>
      <x:c r="D136" s="57"/>
      <x:c r="E136" s="57"/>
      <x:c r="F136" s="57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>
      <x:c r="A137" s="57"/>
      <x:c r="B137" s="57"/>
      <x:c r="C137" s="57"/>
      <x:c r="D137" s="57"/>
      <x:c r="E137" s="57"/>
      <x:c r="F137" s="57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>
      <x:c r="A138" s="57"/>
      <x:c r="B138" s="57"/>
      <x:c r="C138" s="57"/>
      <x:c r="D138" s="57"/>
      <x:c r="E138" s="57"/>
      <x:c r="F138" s="57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>
      <x:c r="A139" s="57"/>
      <x:c r="B139" s="57"/>
      <x:c r="C139" s="57"/>
      <x:c r="D139" s="57"/>
      <x:c r="E139" s="57"/>
      <x:c r="F139" s="57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>
      <x:c r="A140" s="57"/>
      <x:c r="B140" s="57"/>
      <x:c r="C140" s="57"/>
      <x:c r="D140" s="57"/>
      <x:c r="E140" s="57"/>
      <x:c r="F140" s="57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>
      <x:c r="A141" s="57"/>
      <x:c r="B141" s="57"/>
      <x:c r="C141" s="57"/>
      <x:c r="D141" s="57"/>
      <x:c r="E141" s="57"/>
      <x:c r="F141" s="57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>
      <x:c r="A142" s="57"/>
      <x:c r="B142" s="57"/>
      <x:c r="C142" s="57"/>
      <x:c r="D142" s="57"/>
      <x:c r="E142" s="57"/>
      <x:c r="F142" s="57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>
      <x:c r="A143" s="57"/>
      <x:c r="B143" s="57"/>
      <x:c r="C143" s="57"/>
      <x:c r="D143" s="57"/>
      <x:c r="E143" s="57"/>
      <x:c r="F143" s="57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>
      <x:c r="A144" s="57"/>
      <x:c r="B144" s="57"/>
      <x:c r="C144" s="57"/>
      <x:c r="D144" s="57"/>
      <x:c r="E144" s="57"/>
      <x:c r="F144" s="57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>
      <x:c r="A145" s="57"/>
      <x:c r="B145" s="57"/>
      <x:c r="C145" s="57"/>
      <x:c r="D145" s="57"/>
      <x:c r="E145" s="57"/>
      <x:c r="F145" s="57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>
      <x:c r="A146" s="57"/>
      <x:c r="B146" s="57"/>
      <x:c r="C146" s="57"/>
      <x:c r="D146" s="57"/>
      <x:c r="E146" s="57"/>
      <x:c r="F146" s="57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>
      <x:c r="A147" s="57"/>
      <x:c r="B147" s="57"/>
      <x:c r="C147" s="57"/>
      <x:c r="D147" s="57"/>
      <x:c r="E147" s="57"/>
      <x:c r="F147" s="57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>
      <x:c r="A148" s="57"/>
      <x:c r="B148" s="57"/>
      <x:c r="C148" s="57"/>
      <x:c r="D148" s="57"/>
      <x:c r="E148" s="57"/>
      <x:c r="F148" s="57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>
      <x:c r="A149" s="57"/>
      <x:c r="B149" s="57"/>
      <x:c r="C149" s="57"/>
      <x:c r="D149" s="57"/>
      <x:c r="E149" s="57"/>
      <x:c r="F149" s="57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>
      <x:c r="A150" s="57"/>
      <x:c r="B150" s="57"/>
      <x:c r="C150" s="57"/>
      <x:c r="D150" s="57"/>
      <x:c r="E150" s="57"/>
      <x:c r="F150" s="57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>
      <x:c r="A151" s="57"/>
      <x:c r="B151" s="57"/>
      <x:c r="C151" s="57"/>
      <x:c r="D151" s="57"/>
      <x:c r="E151" s="57"/>
      <x:c r="F151" s="57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>
      <x:c r="A152" s="57"/>
      <x:c r="B152" s="57"/>
      <x:c r="C152" s="57"/>
      <x:c r="D152" s="57"/>
      <x:c r="E152" s="57"/>
      <x:c r="F152" s="57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>
      <x:c r="A153" s="57"/>
      <x:c r="B153" s="57"/>
      <x:c r="C153" s="57"/>
      <x:c r="D153" s="57"/>
      <x:c r="E153" s="57"/>
      <x:c r="F153" s="57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>
      <x:c r="A154" s="57"/>
      <x:c r="B154" s="57"/>
      <x:c r="C154" s="57"/>
      <x:c r="D154" s="57"/>
      <x:c r="E154" s="57"/>
      <x:c r="F154" s="57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>
      <x:c r="A155" s="57"/>
      <x:c r="B155" s="57"/>
      <x:c r="C155" s="57"/>
      <x:c r="D155" s="57"/>
      <x:c r="E155" s="57"/>
      <x:c r="F155" s="57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>
      <x:c r="A156" s="57"/>
      <x:c r="B156" s="57"/>
      <x:c r="C156" s="57"/>
      <x:c r="D156" s="57"/>
      <x:c r="E156" s="57"/>
      <x:c r="F156" s="57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>
      <x:c r="A157" s="57"/>
      <x:c r="B157" s="57"/>
      <x:c r="C157" s="57"/>
      <x:c r="D157" s="57"/>
      <x:c r="E157" s="57"/>
      <x:c r="F157" s="57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>
      <x:c r="A158" s="57"/>
      <x:c r="B158" s="57"/>
      <x:c r="C158" s="57"/>
      <x:c r="D158" s="57"/>
      <x:c r="E158" s="57"/>
      <x:c r="F158" s="57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>
      <x:c r="A159" s="57"/>
      <x:c r="B159" s="57"/>
      <x:c r="C159" s="57"/>
      <x:c r="D159" s="57"/>
      <x:c r="E159" s="57"/>
      <x:c r="F159" s="57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>
      <x:c r="A160" s="57"/>
      <x:c r="B160" s="57"/>
      <x:c r="C160" s="57"/>
      <x:c r="D160" s="57"/>
      <x:c r="E160" s="57"/>
      <x:c r="F160" s="57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>
      <x:c r="A161" s="57"/>
      <x:c r="B161" s="57"/>
      <x:c r="C161" s="57"/>
      <x:c r="D161" s="57"/>
      <x:c r="E161" s="57"/>
      <x:c r="F161" s="57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>
      <x:c r="A162" s="57"/>
      <x:c r="B162" s="57"/>
      <x:c r="C162" s="57"/>
      <x:c r="D162" s="57"/>
      <x:c r="E162" s="57"/>
      <x:c r="F162" s="57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>
      <x:c r="A163" s="57"/>
      <x:c r="B163" s="57"/>
      <x:c r="C163" s="57"/>
      <x:c r="D163" s="57"/>
      <x:c r="E163" s="57"/>
      <x:c r="F163" s="57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>
      <x:c r="A164" s="57"/>
      <x:c r="B164" s="57"/>
      <x:c r="C164" s="57"/>
      <x:c r="D164" s="57"/>
      <x:c r="E164" s="57"/>
      <x:c r="F164" s="57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>
      <x:c r="A165" s="57"/>
      <x:c r="B165" s="57"/>
      <x:c r="C165" s="57"/>
      <x:c r="D165" s="57"/>
      <x:c r="E165" s="57"/>
      <x:c r="F165" s="57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>
      <x:c r="A166" s="57"/>
      <x:c r="B166" s="57"/>
      <x:c r="C166" s="57"/>
      <x:c r="D166" s="57"/>
      <x:c r="E166" s="57"/>
      <x:c r="F166" s="57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>
      <x:c r="A167" s="57"/>
      <x:c r="B167" s="57"/>
      <x:c r="C167" s="57"/>
      <x:c r="D167" s="57"/>
      <x:c r="E167" s="57"/>
      <x:c r="F167" s="57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>
      <x:c r="A168" s="57"/>
      <x:c r="B168" s="57"/>
      <x:c r="C168" s="57"/>
      <x:c r="D168" s="57"/>
      <x:c r="E168" s="57"/>
      <x:c r="F168" s="57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>
      <x:c r="A169" s="57"/>
      <x:c r="B169" s="57"/>
      <x:c r="C169" s="57"/>
      <x:c r="D169" s="57"/>
      <x:c r="E169" s="57"/>
      <x:c r="F169" s="57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>
      <x:c r="A170" s="57"/>
      <x:c r="B170" s="57"/>
      <x:c r="C170" s="57"/>
      <x:c r="D170" s="57"/>
      <x:c r="E170" s="57"/>
      <x:c r="F170" s="57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>
      <x:c r="A171" s="57"/>
      <x:c r="B171" s="57"/>
      <x:c r="C171" s="57"/>
      <x:c r="D171" s="57"/>
      <x:c r="E171" s="57"/>
      <x:c r="F171" s="57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>
      <x:c r="A172" s="57"/>
      <x:c r="B172" s="57"/>
      <x:c r="C172" s="57"/>
      <x:c r="D172" s="57"/>
      <x:c r="E172" s="57"/>
      <x:c r="F172" s="57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>
      <x:c r="A173" s="57"/>
      <x:c r="B173" s="57"/>
      <x:c r="C173" s="57"/>
      <x:c r="D173" s="57"/>
      <x:c r="E173" s="57"/>
      <x:c r="F173" s="57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>
      <x:c r="A174" s="57"/>
      <x:c r="B174" s="57"/>
      <x:c r="C174" s="57"/>
      <x:c r="D174" s="57"/>
      <x:c r="E174" s="57"/>
      <x:c r="F174" s="57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>
      <x:c r="A175" s="57"/>
      <x:c r="B175" s="57"/>
      <x:c r="C175" s="57"/>
      <x:c r="D175" s="57"/>
      <x:c r="E175" s="57"/>
      <x:c r="F175" s="57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>
      <x:c r="A176" s="57"/>
      <x:c r="B176" s="57"/>
      <x:c r="C176" s="57"/>
      <x:c r="D176" s="57"/>
      <x:c r="E176" s="57"/>
      <x:c r="F176" s="57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>
      <x:c r="A177" s="57"/>
      <x:c r="B177" s="57"/>
      <x:c r="C177" s="57"/>
      <x:c r="D177" s="57"/>
      <x:c r="E177" s="57"/>
      <x:c r="F177" s="57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>
      <x:c r="A178" s="57"/>
      <x:c r="B178" s="57"/>
      <x:c r="C178" s="57"/>
      <x:c r="D178" s="57"/>
      <x:c r="E178" s="57"/>
      <x:c r="F178" s="57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>
      <x:c r="A179" s="57"/>
      <x:c r="B179" s="57"/>
      <x:c r="C179" s="57"/>
      <x:c r="D179" s="57"/>
      <x:c r="E179" s="57"/>
      <x:c r="F179" s="57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>
      <x:c r="A180" s="57"/>
      <x:c r="B180" s="57"/>
      <x:c r="C180" s="57"/>
      <x:c r="D180" s="57"/>
      <x:c r="E180" s="57"/>
      <x:c r="F180" s="57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>
      <x:c r="A181" s="57"/>
      <x:c r="B181" s="57"/>
      <x:c r="C181" s="57"/>
      <x:c r="D181" s="57"/>
      <x:c r="E181" s="57"/>
      <x:c r="F181" s="57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>
      <x:c r="A182" s="57"/>
      <x:c r="B182" s="57"/>
      <x:c r="C182" s="57"/>
      <x:c r="D182" s="57"/>
      <x:c r="E182" s="57"/>
      <x:c r="F182" s="57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>
      <x:c r="A183" s="57"/>
      <x:c r="B183" s="57"/>
      <x:c r="C183" s="57"/>
      <x:c r="D183" s="57"/>
      <x:c r="E183" s="57"/>
      <x:c r="F183" s="57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>
      <x:c r="A184" s="57"/>
      <x:c r="B184" s="57"/>
      <x:c r="C184" s="57"/>
      <x:c r="D184" s="57"/>
      <x:c r="E184" s="57"/>
      <x:c r="F184" s="57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>
      <x:c r="A185" s="57"/>
      <x:c r="B185" s="57"/>
      <x:c r="C185" s="57"/>
      <x:c r="D185" s="57"/>
      <x:c r="E185" s="57"/>
      <x:c r="F185" s="57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>
      <x:c r="A186" s="57"/>
      <x:c r="B186" s="57"/>
      <x:c r="C186" s="57"/>
      <x:c r="D186" s="57"/>
      <x:c r="E186" s="57"/>
      <x:c r="F186" s="57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>
      <x:c r="A187" s="57"/>
      <x:c r="B187" s="57"/>
      <x:c r="C187" s="57"/>
      <x:c r="D187" s="57"/>
      <x:c r="E187" s="57"/>
      <x:c r="F187" s="57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>
      <x:c r="A188" s="57"/>
      <x:c r="B188" s="57"/>
      <x:c r="C188" s="57"/>
      <x:c r="D188" s="57"/>
      <x:c r="E188" s="57"/>
      <x:c r="F188" s="57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>
      <x:c r="A189" s="57"/>
      <x:c r="B189" s="57"/>
      <x:c r="C189" s="57"/>
      <x:c r="D189" s="57"/>
      <x:c r="E189" s="57"/>
      <x:c r="F189" s="57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>
      <x:c r="A190" s="57"/>
      <x:c r="B190" s="57"/>
      <x:c r="C190" s="57"/>
      <x:c r="D190" s="57"/>
      <x:c r="E190" s="57"/>
      <x:c r="F190" s="57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>
      <x:c r="A191" s="57"/>
      <x:c r="B191" s="57"/>
      <x:c r="C191" s="57"/>
      <x:c r="D191" s="57"/>
      <x:c r="E191" s="57"/>
      <x:c r="F191" s="57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>
      <x:c r="A192" s="57"/>
      <x:c r="B192" s="57"/>
      <x:c r="C192" s="57"/>
      <x:c r="D192" s="57"/>
      <x:c r="E192" s="57"/>
      <x:c r="F192" s="57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>
      <x:c r="A193" s="57"/>
      <x:c r="B193" s="57"/>
      <x:c r="C193" s="57"/>
      <x:c r="D193" s="57"/>
      <x:c r="E193" s="57"/>
      <x:c r="F193" s="57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>
      <x:c r="A194" s="57"/>
      <x:c r="B194" s="57"/>
      <x:c r="C194" s="57"/>
      <x:c r="D194" s="57"/>
      <x:c r="E194" s="57"/>
      <x:c r="F194" s="57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>
      <x:c r="A195" s="57"/>
      <x:c r="B195" s="57"/>
      <x:c r="C195" s="57"/>
      <x:c r="D195" s="57"/>
      <x:c r="E195" s="57"/>
      <x:c r="F195" s="57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>
      <x:c r="A196" s="57"/>
      <x:c r="B196" s="57"/>
      <x:c r="C196" s="57"/>
      <x:c r="D196" s="57"/>
      <x:c r="E196" s="57"/>
      <x:c r="F196" s="57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>
      <x:c r="A197" s="57"/>
      <x:c r="B197" s="57"/>
      <x:c r="C197" s="57"/>
      <x:c r="D197" s="57"/>
      <x:c r="E197" s="57"/>
      <x:c r="F197" s="57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>
      <x:c r="A198" s="57"/>
      <x:c r="B198" s="57"/>
      <x:c r="C198" s="57"/>
      <x:c r="D198" s="57"/>
      <x:c r="E198" s="57"/>
      <x:c r="F198" s="57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>
      <x:c r="A199" s="57"/>
      <x:c r="B199" s="57"/>
      <x:c r="C199" s="57"/>
      <x:c r="D199" s="57"/>
      <x:c r="E199" s="57"/>
      <x:c r="F199" s="57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>
      <x:c r="A200" s="57"/>
      <x:c r="B200" s="57"/>
      <x:c r="C200" s="57"/>
      <x:c r="D200" s="57"/>
      <x:c r="E200" s="57"/>
      <x:c r="F200" s="57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</x:sheetData>
  <x:mergeCells>
    <x:mergeCell ref="A1:F2"/>
    <x:mergeCell ref="A3:F3"/>
    <x:mergeCell ref="A21:F21"/>
    <x:mergeCell ref="A22:F27"/>
  </x:mergeCells>
  <x:conditionalFormatting sqref="E6:E19">
    <x:cfRule type="expression" dxfId="7" priority="1">
      <x:formula>OR($E6="Обязательно",$E6="Факт кейса",$E6="Технический факт")</x:formula>
    </x:cfRule>
    <x:cfRule type="expression" dxfId="8" priority="2">
      <x:formula>OR($E6="Допущение",$E6="Оценка",$E6="Диапазон")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5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>
      <x:c r="A1" s="53" t="str">
        <x:v>Экономика платформы «Диспетчер»</x:v>
      </x:c>
      <x:c r="B1" s="53"/>
      <x:c r="C1" s="53"/>
      <x:c r="D1" s="53"/>
      <x:c r="E1" s="53"/>
      <x:c r="F1" s="53"/>
      <x:c r="G1" s="53"/>
      <x:c r="H1" s="53"/>
      <x:c r="I1" s="53"/>
      <x:c r="J1" s="53"/>
      <x:c r="K1" s="53"/>
      <x:c r="L1" s="53"/>
      <x:c r="M1" s="57"/>
      <x:c r="N1" s="57"/>
      <x:c r="O1" s="57"/>
      <x:c r="P1" s="57"/>
      <x:c r="Q1" s="57"/>
      <x:c r="R1" s="57"/>
      <x:c r="S1" s="57"/>
      <x:c r="T1" s="57"/>
      <x:c r="U1" s="57"/>
      <x:c r="V1" s="57"/>
      <x:c r="W1" s="57"/>
      <x:c r="X1" s="57"/>
      <x:c r="Y1" s="57"/>
      <x:c r="Z1" s="57"/>
    </x:row>
    <x:row r="2">
      <x:c r="A2" s="53"/>
      <x:c r="B2" s="53"/>
      <x:c r="C2" s="53"/>
      <x:c r="D2" s="53"/>
      <x:c r="E2" s="53"/>
      <x:c r="F2" s="53"/>
      <x:c r="G2" s="53"/>
      <x:c r="H2" s="53"/>
      <x:c r="I2" s="53"/>
      <x:c r="J2" s="53"/>
      <x:c r="K2" s="53"/>
      <x:c r="L2" s="53"/>
      <x:c r="M2" s="57"/>
      <x:c r="N2" s="57"/>
      <x:c r="O2" s="57"/>
      <x:c r="P2" s="57"/>
      <x:c r="Q2" s="57"/>
      <x:c r="R2" s="57"/>
      <x:c r="S2" s="57"/>
      <x:c r="T2" s="57"/>
      <x:c r="U2" s="57"/>
      <x:c r="V2" s="57"/>
      <x:c r="W2" s="57"/>
      <x:c r="X2" s="57"/>
      <x:c r="Y2" s="57"/>
      <x:c r="Z2" s="57"/>
    </x:row>
    <x:row r="3">
      <x:c r="A3" s="54" t="str">
        <x:v>Сравнение «без системы / с системой», бюджет, годовой эффект и кривая безубыточности.</x:v>
      </x:c>
      <x:c r="B3" s="54"/>
      <x:c r="C3" s="54"/>
      <x:c r="D3" s="54"/>
      <x:c r="E3" s="54"/>
      <x:c r="F3" s="54"/>
      <x:c r="G3" s="54"/>
      <x:c r="H3" s="54"/>
      <x:c r="I3" s="54"/>
      <x:c r="J3" s="54"/>
      <x:c r="K3" s="54"/>
      <x:c r="L3" s="54"/>
      <x:c r="M3" s="57"/>
      <x:c r="N3" s="57"/>
      <x:c r="O3" s="57"/>
      <x:c r="P3" s="57"/>
      <x:c r="Q3" s="57"/>
      <x:c r="R3" s="57"/>
      <x:c r="S3" s="57"/>
      <x:c r="T3" s="57"/>
      <x:c r="U3" s="57"/>
      <x:c r="V3" s="57"/>
      <x:c r="W3" s="57"/>
      <x:c r="X3" s="57"/>
      <x:c r="Y3" s="57"/>
      <x:c r="Z3" s="57"/>
    </x:row>
    <x:row r="4">
      <x:c r="A4" s="57"/>
      <x:c r="B4" s="57"/>
      <x:c r="C4" s="57"/>
      <x:c r="D4" s="57"/>
      <x:c r="E4" s="57"/>
      <x:c r="F4" s="57"/>
      <x:c r="G4" s="57"/>
      <x:c r="H4" s="57"/>
      <x:c r="I4" s="57"/>
      <x:c r="J4" s="57"/>
      <x:c r="K4" s="57"/>
      <x:c r="L4" s="57"/>
      <x:c r="M4" s="57"/>
      <x:c r="N4" s="57"/>
      <x:c r="O4" s="57"/>
      <x:c r="P4" s="57"/>
      <x:c r="Q4" s="57"/>
      <x:c r="R4" s="57"/>
      <x:c r="S4" s="57"/>
      <x:c r="T4" s="57"/>
      <x:c r="U4" s="57"/>
      <x:c r="V4" s="57"/>
      <x:c r="W4" s="57"/>
      <x:c r="X4" s="57"/>
      <x:c r="Y4" s="57"/>
      <x:c r="Z4" s="57"/>
    </x:row>
    <x:row r="5">
      <x:c r="A5" s="219" t="str">
        <x:v>Активный сценарий</x:v>
      </x:c>
      <x:c r="B5" s="219"/>
      <x:c r="C5" s="219"/>
      <x:c r="D5" s="219" t="str">
        <x:v>Первоначальные инвестиции</x:v>
      </x:c>
      <x:c r="E5" s="219"/>
      <x:c r="F5" s="219"/>
      <x:c r="G5" s="219" t="str">
        <x:v>Чистая экономия / год</x:v>
      </x:c>
      <x:c r="H5" s="219"/>
      <x:c r="I5" s="219"/>
      <x:c r="J5" s="219" t="str">
        <x:v>Точка безубыточности</x:v>
      </x:c>
      <x:c r="K5" s="219"/>
      <x:c r="L5" s="219"/>
      <x:c r="M5" s="57"/>
      <x:c r="N5" s="57"/>
      <x:c r="O5" s="57"/>
      <x:c r="P5" s="57"/>
      <x:c r="Q5" s="57"/>
      <x:c r="R5" s="57"/>
      <x:c r="S5" s="57"/>
      <x:c r="T5" s="57"/>
      <x:c r="U5" s="57"/>
      <x:c r="V5" s="57"/>
      <x:c r="W5" s="57"/>
      <x:c r="X5" s="57"/>
      <x:c r="Y5" s="57"/>
      <x:c r="Z5" s="57"/>
    </x:row>
    <x:row r="6">
      <x:c r="A6" s="220" t="str">
        <x:f>'Допущения'!$C$4</x:f>
        <x:v>Студенты</x:v>
      </x:c>
      <x:c r="B6" s="220"/>
      <x:c r="C6" s="220"/>
      <x:c r="D6" s="221" t="n">
        <x:f>'Сравнение'!$B$39</x:f>
        <x:v>20955000</x:v>
      </x:c>
      <x:c r="E6" s="221"/>
      <x:c r="F6" s="221"/>
      <x:c r="G6" s="221" t="n">
        <x:f>IF('Допущения'!$C$4="Студенты",'Сравнение'!$G$31,'Сравнение'!$G$32)</x:f>
        <x:v>26819142.857142854</x:v>
      </x:c>
      <x:c r="H6" s="221"/>
      <x:c r="I6" s="221"/>
      <x:c r="J6" s="222" t="n">
        <x:f>'Денежный поток'!$J$5</x:f>
        <x:v>16</x:v>
      </x:c>
      <x:c r="K6" s="222"/>
      <x:c r="L6" s="222"/>
      <x:c r="M6" s="57"/>
      <x:c r="N6" s="57"/>
      <x:c r="O6" s="57"/>
      <x:c r="P6" s="57"/>
      <x:c r="Q6" s="57"/>
      <x:c r="R6" s="57"/>
      <x:c r="S6" s="57"/>
      <x:c r="T6" s="57"/>
      <x:c r="U6" s="57"/>
      <x:c r="V6" s="57"/>
      <x:c r="W6" s="57"/>
      <x:c r="X6" s="57"/>
      <x:c r="Y6" s="57"/>
      <x:c r="Z6" s="57"/>
    </x:row>
    <x:row r="7">
      <x:c r="A7" s="220"/>
      <x:c r="B7" s="220"/>
      <x:c r="C7" s="220"/>
      <x:c r="D7" s="221"/>
      <x:c r="E7" s="221"/>
      <x:c r="F7" s="221"/>
      <x:c r="G7" s="221"/>
      <x:c r="H7" s="221"/>
      <x:c r="I7" s="221"/>
      <x:c r="J7" s="222"/>
      <x:c r="K7" s="222"/>
      <x:c r="L7" s="222"/>
      <x:c r="M7" s="57"/>
      <x:c r="N7" s="57"/>
      <x:c r="O7" s="57"/>
      <x:c r="P7" s="57"/>
      <x:c r="Q7" s="57"/>
      <x:c r="R7" s="57"/>
      <x:c r="S7" s="57"/>
      <x:c r="T7" s="57"/>
      <x:c r="U7" s="57"/>
      <x:c r="V7" s="57"/>
      <x:c r="W7" s="57"/>
      <x:c r="X7" s="57"/>
      <x:c r="Y7" s="57"/>
      <x:c r="Z7" s="57"/>
    </x:row>
    <x:row r="8">
      <x:c r="A8" s="223"/>
      <x:c r="B8" s="223"/>
      <x:c r="C8" s="223"/>
      <x:c r="D8" s="224"/>
      <x:c r="E8" s="224"/>
      <x:c r="F8" s="224"/>
      <x:c r="G8" s="224"/>
      <x:c r="H8" s="224"/>
      <x:c r="I8" s="224"/>
      <x:c r="J8" s="225"/>
      <x:c r="K8" s="225"/>
      <x:c r="L8" s="225"/>
      <x:c r="M8" s="57"/>
      <x:c r="N8" s="57"/>
      <x:c r="O8" s="57"/>
      <x:c r="P8" s="57"/>
      <x:c r="Q8" s="57"/>
      <x:c r="R8" s="57"/>
      <x:c r="S8" s="57"/>
      <x:c r="T8" s="57"/>
      <x:c r="U8" s="57"/>
      <x:c r="V8" s="57"/>
      <x:c r="W8" s="57"/>
      <x:c r="X8" s="57"/>
      <x:c r="Y8" s="57"/>
      <x:c r="Z8" s="57"/>
    </x:row>
    <x:row r="9">
      <x:c r="A9" s="57"/>
      <x:c r="B9" s="57"/>
      <x:c r="C9" s="57"/>
      <x:c r="D9" s="57"/>
      <x:c r="E9" s="57"/>
      <x:c r="F9" s="57"/>
      <x:c r="G9" s="57"/>
      <x:c r="H9" s="57"/>
      <x:c r="I9" s="57"/>
      <x:c r="J9" s="57"/>
      <x:c r="K9" s="57"/>
      <x:c r="L9" s="57"/>
      <x:c r="M9" s="57"/>
      <x:c r="N9" s="57"/>
      <x:c r="O9" s="57"/>
      <x:c r="P9" s="57"/>
      <x:c r="Q9" s="57"/>
      <x:c r="R9" s="57"/>
      <x:c r="S9" s="57"/>
      <x:c r="T9" s="57"/>
      <x:c r="U9" s="57"/>
      <x:c r="V9" s="57"/>
      <x:c r="W9" s="57"/>
      <x:c r="X9" s="57"/>
      <x:c r="Y9" s="57"/>
      <x:c r="Z9" s="57"/>
    </x:row>
    <x:row r="10">
      <x:c r="A10" s="59" t="str">
        <x:v>Сравнение сценариев</x:v>
      </x:c>
      <x:c r="B10" s="59"/>
      <x:c r="C10" s="59"/>
      <x:c r="D10" s="59"/>
      <x:c r="E10" s="59"/>
      <x:c r="F10" s="59"/>
      <x:c r="G10" s="59"/>
      <x:c r="H10" s="59"/>
      <x:c r="I10" s="59"/>
      <x:c r="J10" s="59"/>
      <x:c r="K10" s="59"/>
      <x:c r="L10" s="59"/>
      <x:c r="M10" s="57"/>
      <x:c r="N10" s="57"/>
      <x:c r="O10" s="57"/>
      <x:c r="P10" s="57"/>
      <x:c r="Q10" s="57"/>
      <x:c r="R10" s="57"/>
      <x:c r="S10" s="57"/>
      <x:c r="T10" s="57"/>
      <x:c r="U10" s="57"/>
      <x:c r="V10" s="57"/>
      <x:c r="W10" s="57"/>
      <x:c r="X10" s="57"/>
      <x:c r="Y10" s="57"/>
      <x:c r="Z10" s="57"/>
    </x:row>
    <x:row r="11">
      <x:c r="A11" s="60" t="str">
        <x:v>Годовые затраты</x:v>
      </x:c>
      <x:c r="B11" s="60" t="str">
        <x:v>Студенты</x:v>
      </x:c>
      <x:c r="C11" s="60" t="str">
        <x:v>НПЗ / МС</x:v>
      </x:c>
      <x:c r="D11" s="226"/>
      <x:c r="E11" s="57"/>
      <x:c r="F11" s="57"/>
      <x:c r="G11" s="57"/>
      <x:c r="H11" s="57"/>
      <x:c r="I11" s="57"/>
      <x:c r="J11" s="57"/>
      <x:c r="K11" s="57"/>
      <x:c r="L11" s="57"/>
      <x:c r="M11" s="57"/>
      <x:c r="N11" s="57"/>
      <x:c r="O11" s="57"/>
      <x:c r="P11" s="57"/>
      <x:c r="Q11" s="57"/>
      <x:c r="R11" s="57"/>
      <x:c r="S11" s="57"/>
      <x:c r="T11" s="57"/>
      <x:c r="U11" s="57"/>
      <x:c r="V11" s="57"/>
      <x:c r="W11" s="57"/>
      <x:c r="X11" s="57"/>
      <x:c r="Y11" s="57"/>
      <x:c r="Z11" s="57"/>
    </x:row>
    <x:row r="12">
      <x:c r="A12" s="226" t="str">
        <x:v>Без системы</x:v>
      </x:c>
      <x:c r="B12" s="227" t="n">
        <x:f>'Сравнение'!$E$31</x:f>
        <x:v>45200000</x:v>
      </x:c>
      <x:c r="C12" s="227" t="n">
        <x:f>'Сравнение'!$E$32</x:f>
        <x:v>26550000</x:v>
      </x:c>
      <x:c r="D12" s="226"/>
      <x:c r="E12" s="57"/>
      <x:c r="F12" s="57"/>
      <x:c r="G12" s="57"/>
      <x:c r="H12" s="57"/>
      <x:c r="I12" s="57"/>
      <x:c r="J12" s="57"/>
      <x:c r="K12" s="57"/>
      <x:c r="L12" s="57"/>
      <x:c r="M12" s="57"/>
      <x:c r="N12" s="57"/>
      <x:c r="O12" s="57"/>
      <x:c r="P12" s="57"/>
      <x:c r="Q12" s="57"/>
      <x:c r="R12" s="57"/>
      <x:c r="S12" s="57"/>
      <x:c r="T12" s="57"/>
      <x:c r="U12" s="57"/>
      <x:c r="V12" s="57"/>
      <x:c r="W12" s="57"/>
      <x:c r="X12" s="57"/>
      <x:c r="Y12" s="57"/>
      <x:c r="Z12" s="57"/>
    </x:row>
    <x:row r="13">
      <x:c r="A13" s="226" t="str">
        <x:v>С системой</x:v>
      </x:c>
      <x:c r="B13" s="227" t="n">
        <x:f>'Сравнение'!$F$31</x:f>
        <x:v>18380857.142857146</x:v>
      </x:c>
      <x:c r="C13" s="227" t="n">
        <x:f>'Сравнение'!$F$32</x:f>
        <x:v>12826000</x:v>
      </x:c>
      <x:c r="D13" s="226"/>
      <x:c r="E13" s="57"/>
      <x:c r="F13" s="57"/>
      <x:c r="G13" s="57"/>
      <x:c r="H13" s="57"/>
      <x:c r="I13" s="57"/>
      <x:c r="J13" s="57"/>
      <x:c r="K13" s="57"/>
      <x:c r="L13" s="57"/>
      <x:c r="M13" s="57"/>
      <x:c r="N13" s="57"/>
      <x:c r="O13" s="57"/>
      <x:c r="P13" s="57"/>
      <x:c r="Q13" s="57"/>
      <x:c r="R13" s="57"/>
      <x:c r="S13" s="57"/>
      <x:c r="T13" s="57"/>
      <x:c r="U13" s="57"/>
      <x:c r="V13" s="57"/>
      <x:c r="W13" s="57"/>
      <x:c r="X13" s="57"/>
      <x:c r="Y13" s="57"/>
      <x:c r="Z13" s="57"/>
    </x:row>
    <x:row r="14">
      <x:c r="A14" s="228" t="str">
        <x:v>Чистая экономия</x:v>
      </x:c>
      <x:c r="B14" s="229" t="n">
        <x:f>'Сравнение'!$G$31</x:f>
        <x:v>26819142.857142854</x:v>
      </x:c>
      <x:c r="C14" s="229" t="n">
        <x:f>'Сравнение'!$G$32</x:f>
        <x:v>13724000</x:v>
      </x:c>
      <x:c r="D14" s="226"/>
      <x:c r="E14" s="57"/>
      <x:c r="F14" s="57"/>
      <x:c r="G14" s="57"/>
      <x:c r="H14" s="57"/>
      <x:c r="I14" s="57"/>
      <x:c r="J14" s="57"/>
      <x:c r="K14" s="57"/>
      <x:c r="L14" s="57"/>
      <x:c r="M14" s="57"/>
      <x:c r="N14" s="57"/>
      <x:c r="O14" s="57"/>
      <x:c r="P14" s="57"/>
      <x:c r="Q14" s="57"/>
      <x:c r="R14" s="57"/>
      <x:c r="S14" s="57"/>
      <x:c r="T14" s="57"/>
      <x:c r="U14" s="57"/>
      <x:c r="V14" s="57"/>
      <x:c r="W14" s="57"/>
      <x:c r="X14" s="57"/>
      <x:c r="Y14" s="57"/>
      <x:c r="Z14" s="57"/>
    </x:row>
    <x:row r="15">
      <x:c r="A15" s="228" t="str">
        <x:v>Сокращение, %</x:v>
      </x:c>
      <x:c r="B15" s="230" t="n">
        <x:f>'Сравнение'!$H$31</x:f>
        <x:v>0.5933438685208596</x:v>
      </x:c>
      <x:c r="C15" s="230" t="n">
        <x:f>'Сравнение'!$H$32</x:f>
        <x:v>0.5169114877589454</x:v>
      </x:c>
      <x:c r="D15" s="226"/>
      <x:c r="E15" s="57"/>
      <x:c r="F15" s="57"/>
      <x:c r="G15" s="57"/>
      <x:c r="H15" s="57"/>
      <x:c r="I15" s="57"/>
      <x:c r="J15" s="57"/>
      <x:c r="K15" s="57"/>
      <x:c r="L15" s="57"/>
      <x:c r="M15" s="57"/>
      <x:c r="N15" s="57"/>
      <x:c r="O15" s="57"/>
      <x:c r="P15" s="57"/>
      <x:c r="Q15" s="57"/>
      <x:c r="R15" s="57"/>
      <x:c r="S15" s="57"/>
      <x:c r="T15" s="57"/>
      <x:c r="U15" s="57"/>
      <x:c r="V15" s="57"/>
      <x:c r="W15" s="57"/>
      <x:c r="X15" s="57"/>
      <x:c r="Y15" s="57"/>
      <x:c r="Z15" s="57"/>
    </x:row>
    <x:row r="16">
      <x:c r="A16" s="226"/>
      <x:c r="B16" s="226"/>
      <x:c r="C16" s="226"/>
      <x:c r="D16" s="226"/>
      <x:c r="E16" s="57"/>
      <x:c r="F16" s="57"/>
      <x:c r="G16" s="57"/>
      <x:c r="H16" s="57"/>
      <x:c r="I16" s="57"/>
      <x:c r="J16" s="57"/>
      <x:c r="K16" s="57"/>
      <x:c r="L16" s="57"/>
      <x:c r="M16" s="57"/>
      <x:c r="N16" s="57"/>
      <x:c r="O16" s="57"/>
      <x:c r="P16" s="57"/>
      <x:c r="Q16" s="57"/>
      <x:c r="R16" s="57"/>
      <x:c r="S16" s="57"/>
      <x:c r="T16" s="57"/>
      <x:c r="U16" s="57"/>
      <x:c r="V16" s="57"/>
      <x:c r="W16" s="57"/>
      <x:c r="X16" s="57"/>
      <x:c r="Y16" s="57"/>
      <x:c r="Z16" s="57"/>
    </x:row>
    <x:row r="17">
      <x:c r="A17" s="67" t="str">
        <x:v>Структура годового эффекта</x:v>
      </x:c>
      <x:c r="B17" s="67"/>
      <x:c r="C17" s="67"/>
      <x:c r="D17" s="67"/>
      <x:c r="E17" s="59"/>
      <x:c r="F17" s="59"/>
      <x:c r="G17" s="59"/>
      <x:c r="H17" s="59"/>
      <x:c r="I17" s="59"/>
      <x:c r="J17" s="59"/>
      <x:c r="K17" s="59"/>
      <x:c r="L17" s="59"/>
      <x:c r="M17" s="57"/>
      <x:c r="N17" s="57"/>
      <x:c r="O17" s="57"/>
      <x:c r="P17" s="57"/>
      <x:c r="Q17" s="57"/>
      <x:c r="R17" s="57"/>
      <x:c r="S17" s="57"/>
      <x:c r="T17" s="57"/>
      <x:c r="U17" s="57"/>
      <x:c r="V17" s="57"/>
      <x:c r="W17" s="57"/>
      <x:c r="X17" s="57"/>
      <x:c r="Y17" s="57"/>
      <x:c r="Z17" s="57"/>
    </x:row>
    <x:row r="18">
      <x:c r="A18" s="60" t="str">
        <x:v>Источник эффекта</x:v>
      </x:c>
      <x:c r="B18" s="60" t="str">
        <x:v>Студенты</x:v>
      </x:c>
      <x:c r="C18" s="60" t="str">
        <x:v>НПЗ / МС</x:v>
      </x:c>
      <x:c r="D18" s="226"/>
      <x:c r="E18" s="57"/>
      <x:c r="F18" s="57"/>
      <x:c r="G18" s="57"/>
      <x:c r="H18" s="57"/>
      <x:c r="I18" s="57"/>
      <x:c r="J18" s="57"/>
      <x:c r="K18" s="57"/>
      <x:c r="L18" s="57"/>
      <x:c r="M18" s="57"/>
      <x:c r="N18" s="57"/>
      <x:c r="O18" s="57"/>
      <x:c r="P18" s="57"/>
      <x:c r="Q18" s="57"/>
      <x:c r="R18" s="57"/>
      <x:c r="S18" s="57"/>
      <x:c r="T18" s="57"/>
      <x:c r="U18" s="57"/>
      <x:c r="V18" s="57"/>
      <x:c r="W18" s="57"/>
      <x:c r="X18" s="57"/>
      <x:c r="Y18" s="57"/>
      <x:c r="Z18" s="57"/>
    </x:row>
    <x:row r="19">
      <x:c r="A19" s="226" t="str">
        <x:v>Сокращение ручного труда</x:v>
      </x:c>
      <x:c r="B19" s="227" t="n">
        <x:f>'Сравнение'!$D$9</x:f>
        <x:v>21024000</x:v>
      </x:c>
      <x:c r="C19" s="227" t="n">
        <x:f>'Сравнение'!$H$9</x:f>
        <x:v>8760000</x:v>
      </x:c>
      <x:c r="D19" s="226"/>
      <x:c r="E19" s="57"/>
      <x:c r="F19" s="57"/>
      <x:c r="G19" s="57"/>
      <x:c r="H19" s="57"/>
      <x:c r="I19" s="57"/>
      <x:c r="J19" s="57"/>
      <x:c r="K19" s="57"/>
      <x:c r="L19" s="57"/>
      <x:c r="M19" s="57"/>
      <x:c r="N19" s="57"/>
      <x:c r="O19" s="57"/>
      <x:c r="P19" s="57"/>
      <x:c r="Q19" s="57"/>
      <x:c r="R19" s="57"/>
      <x:c r="S19" s="57"/>
      <x:c r="T19" s="57"/>
      <x:c r="U19" s="57"/>
      <x:c r="V19" s="57"/>
      <x:c r="W19" s="57"/>
      <x:c r="X19" s="57"/>
      <x:c r="Y19" s="57"/>
      <x:c r="Z19" s="57"/>
    </x:row>
    <x:row r="20">
      <x:c r="A20" s="226" t="str">
        <x:v>Сокращение простоев</x:v>
      </x:c>
      <x:c r="B20" s="227" t="n">
        <x:f>'Сравнение'!$D$13</x:f>
        <x:v>6857142.857142857</x:v>
      </x:c>
      <x:c r="C20" s="227" t="n">
        <x:f>'Сравнение'!$H$13</x:f>
        <x:v>6250000</x:v>
      </x:c>
      <x:c r="D20" s="226"/>
      <x:c r="E20" s="57"/>
      <x:c r="F20" s="57"/>
      <x:c r="G20" s="57"/>
      <x:c r="H20" s="57"/>
      <x:c r="I20" s="57"/>
      <x:c r="J20" s="57"/>
      <x:c r="K20" s="57"/>
      <x:c r="L20" s="57"/>
      <x:c r="M20" s="57"/>
      <x:c r="N20" s="57"/>
      <x:c r="O20" s="57"/>
      <x:c r="P20" s="57"/>
      <x:c r="Q20" s="57"/>
      <x:c r="R20" s="57"/>
      <x:c r="S20" s="57"/>
      <x:c r="T20" s="57"/>
      <x:c r="U20" s="57"/>
      <x:c r="V20" s="57"/>
      <x:c r="W20" s="57"/>
      <x:c r="X20" s="57"/>
      <x:c r="Y20" s="57"/>
      <x:c r="Z20" s="57"/>
    </x:row>
    <x:row r="21">
      <x:c r="A21" s="226" t="str">
        <x:v>Ускорение подключений</x:v>
      </x:c>
      <x:c r="B21" s="227" t="n">
        <x:f>'Сравнение'!$D$17</x:f>
        <x:v>448000</x:v>
      </x:c>
      <x:c r="C21" s="227" t="n">
        <x:f>'Сравнение'!$H$17</x:f>
        <x:v>224000</x:v>
      </x:c>
      <x:c r="D21" s="226"/>
      <x:c r="E21" s="57"/>
      <x:c r="F21" s="57"/>
      <x:c r="G21" s="57"/>
      <x:c r="H21" s="57"/>
      <x:c r="I21" s="57"/>
      <x:c r="J21" s="57"/>
      <x:c r="K21" s="57"/>
      <x:c r="L21" s="57"/>
      <x:c r="M21" s="57"/>
      <x:c r="N21" s="57"/>
      <x:c r="O21" s="57"/>
      <x:c r="P21" s="57"/>
      <x:c r="Q21" s="57"/>
      <x:c r="R21" s="57"/>
      <x:c r="S21" s="57"/>
      <x:c r="T21" s="57"/>
      <x:c r="U21" s="57"/>
      <x:c r="V21" s="57"/>
      <x:c r="W21" s="57"/>
      <x:c r="X21" s="57"/>
      <x:c r="Y21" s="57"/>
      <x:c r="Z21" s="57"/>
    </x:row>
    <x:row r="22">
      <x:c r="A22" s="226"/>
      <x:c r="B22" s="226"/>
      <x:c r="C22" s="226"/>
      <x:c r="D22" s="226"/>
      <x:c r="E22" s="57"/>
      <x:c r="F22" s="57"/>
      <x:c r="G22" s="57"/>
      <x:c r="H22" s="57"/>
      <x:c r="I22" s="57"/>
      <x:c r="J22" s="57"/>
      <x:c r="K22" s="57"/>
      <x:c r="L22" s="57"/>
      <x:c r="M22" s="57"/>
      <x:c r="N22" s="57"/>
      <x:c r="O22" s="57"/>
      <x:c r="P22" s="57"/>
      <x:c r="Q22" s="57"/>
      <x:c r="R22" s="57"/>
      <x:c r="S22" s="57"/>
      <x:c r="T22" s="57"/>
      <x:c r="U22" s="57"/>
      <x:c r="V22" s="57"/>
      <x:c r="W22" s="57"/>
      <x:c r="X22" s="57"/>
      <x:c r="Y22" s="57"/>
      <x:c r="Z22" s="57"/>
    </x:row>
    <x:row r="23">
      <x:c r="A23" s="226"/>
      <x:c r="B23" s="226"/>
      <x:c r="C23" s="226"/>
      <x:c r="D23" s="226"/>
      <x:c r="E23" s="57"/>
      <x:c r="F23" s="57"/>
      <x:c r="G23" s="57"/>
      <x:c r="H23" s="57"/>
      <x:c r="I23" s="57"/>
      <x:c r="J23" s="57"/>
      <x:c r="K23" s="57"/>
      <x:c r="L23" s="57"/>
      <x:c r="M23" s="57"/>
      <x:c r="N23" s="57"/>
      <x:c r="O23" s="57"/>
      <x:c r="P23" s="57"/>
      <x:c r="Q23" s="57"/>
      <x:c r="R23" s="57"/>
      <x:c r="S23" s="57"/>
      <x:c r="T23" s="57"/>
      <x:c r="U23" s="57"/>
      <x:c r="V23" s="57"/>
      <x:c r="W23" s="57"/>
      <x:c r="X23" s="57"/>
      <x:c r="Y23" s="57"/>
      <x:c r="Z23" s="57"/>
    </x:row>
    <x:row r="24">
      <x:c r="A24" s="67" t="str">
        <x:v>Ключевые нефинансовые KPI</x:v>
      </x:c>
      <x:c r="B24" s="67"/>
      <x:c r="C24" s="67"/>
      <x:c r="D24" s="67"/>
      <x:c r="E24" s="57"/>
      <x:c r="F24" s="57"/>
      <x:c r="G24" s="57"/>
      <x:c r="H24" s="57"/>
      <x:c r="I24" s="57"/>
      <x:c r="J24" s="57"/>
      <x:c r="K24" s="57"/>
      <x:c r="L24" s="57"/>
      <x:c r="M24" s="57"/>
      <x:c r="N24" s="57"/>
      <x:c r="O24" s="57"/>
      <x:c r="P24" s="57"/>
      <x:c r="Q24" s="57"/>
      <x:c r="R24" s="57"/>
      <x:c r="S24" s="57"/>
      <x:c r="T24" s="57"/>
      <x:c r="U24" s="57"/>
      <x:c r="V24" s="57"/>
      <x:c r="W24" s="57"/>
      <x:c r="X24" s="57"/>
      <x:c r="Y24" s="57"/>
      <x:c r="Z24" s="57"/>
    </x:row>
    <x:row r="25">
      <x:c r="A25" s="60" t="str">
        <x:v>Показатель</x:v>
      </x:c>
      <x:c r="B25" s="60" t="str">
        <x:v>Студенты</x:v>
      </x:c>
      <x:c r="C25" s="60" t="str">
        <x:v>НПЗ / МС</x:v>
      </x:c>
      <x:c r="D25" s="60" t="str">
        <x:v>Смысл</x:v>
      </x:c>
      <x:c r="E25" s="57"/>
      <x:c r="F25" s="57"/>
      <x:c r="G25" s="57"/>
      <x:c r="H25" s="57"/>
      <x:c r="I25" s="57"/>
      <x:c r="J25" s="57"/>
      <x:c r="K25" s="57"/>
      <x:c r="L25" s="57"/>
      <x:c r="M25" s="57"/>
      <x:c r="N25" s="57"/>
      <x:c r="O25" s="57"/>
      <x:c r="P25" s="57"/>
      <x:c r="Q25" s="57"/>
      <x:c r="R25" s="57"/>
      <x:c r="S25" s="57"/>
      <x:c r="T25" s="57"/>
      <x:c r="U25" s="57"/>
      <x:c r="V25" s="57"/>
      <x:c r="W25" s="57"/>
      <x:c r="X25" s="57"/>
      <x:c r="Y25" s="57"/>
      <x:c r="Z25" s="57"/>
    </x:row>
    <x:row r="26">
      <x:c r="A26" s="226" t="str">
        <x:v>Сэкономлено труда, ч/год</x:v>
      </x:c>
      <x:c r="B26" s="231" t="n">
        <x:f>'Сравнение'!$D$21</x:f>
        <x:v>10512</x:v>
      </x:c>
      <x:c r="C26" s="231" t="n">
        <x:f>'Сравнение'!$H$21</x:f>
        <x:v>4380</x:v>
      </x:c>
      <x:c r="D26" s="226" t="str">
        <x:v>Снижение ежедневной ручной фильтрации</x:v>
      </x:c>
      <x:c r="E26" s="57"/>
      <x:c r="F26" s="57"/>
      <x:c r="G26" s="57"/>
      <x:c r="H26" s="57"/>
      <x:c r="I26" s="57"/>
      <x:c r="J26" s="57"/>
      <x:c r="K26" s="57"/>
      <x:c r="L26" s="57"/>
      <x:c r="M26" s="57"/>
      <x:c r="N26" s="57"/>
      <x:c r="O26" s="57"/>
      <x:c r="P26" s="57"/>
      <x:c r="Q26" s="57"/>
      <x:c r="R26" s="57"/>
      <x:c r="S26" s="57"/>
      <x:c r="T26" s="57"/>
      <x:c r="U26" s="57"/>
      <x:c r="V26" s="57"/>
      <x:c r="W26" s="57"/>
      <x:c r="X26" s="57"/>
      <x:c r="Y26" s="57"/>
      <x:c r="Z26" s="57"/>
    </x:row>
    <x:row r="27">
      <x:c r="A27" s="226" t="str">
        <x:v>Сокращение простоя, мин/год</x:v>
      </x:c>
      <x:c r="B27" s="231" t="n">
        <x:f>'Сравнение'!$D$23</x:f>
        <x:v>30</x:v>
      </x:c>
      <x:c r="C27" s="231" t="n">
        <x:f>'Сравнение'!$H$23</x:f>
        <x:v>60</x:v>
      </x:c>
      <x:c r="D27" s="226" t="str">
        <x:v>Более быстрая адресная реакция</x:v>
      </x:c>
      <x:c r="E27" s="57"/>
      <x:c r="F27" s="57"/>
      <x:c r="G27" s="57"/>
      <x:c r="H27" s="57"/>
      <x:c r="I27" s="57"/>
      <x:c r="J27" s="57"/>
      <x:c r="K27" s="57"/>
      <x:c r="L27" s="57"/>
      <x:c r="M27" s="57"/>
      <x:c r="N27" s="57"/>
      <x:c r="O27" s="57"/>
      <x:c r="P27" s="57"/>
      <x:c r="Q27" s="57"/>
      <x:c r="R27" s="57"/>
      <x:c r="S27" s="57"/>
      <x:c r="T27" s="57"/>
      <x:c r="U27" s="57"/>
      <x:c r="V27" s="57"/>
      <x:c r="W27" s="57"/>
      <x:c r="X27" s="57"/>
      <x:c r="Y27" s="57"/>
      <x:c r="Z27" s="57"/>
    </x:row>
    <x:row r="28">
      <x:c r="A28" s="226" t="str">
        <x:v>Сокращение адресатов P0</x:v>
      </x:c>
      <x:c r="B28" s="232" t="n">
        <x:f>'Сравнение'!$E$24</x:f>
        <x:v>0.99</x:v>
      </x:c>
      <x:c r="C28" s="232" t="n">
        <x:f>'Сравнение'!$I$24</x:f>
        <x:v>0.96</x:v>
      </x:c>
      <x:c r="D28" s="226" t="str">
        <x:v>Снижение информационного шума</x:v>
      </x:c>
      <x:c r="E28" s="57"/>
      <x:c r="F28" s="57"/>
      <x:c r="G28" s="57"/>
      <x:c r="H28" s="57"/>
      <x:c r="I28" s="57"/>
      <x:c r="J28" s="57"/>
      <x:c r="K28" s="57"/>
      <x:c r="L28" s="57"/>
      <x:c r="M28" s="57"/>
      <x:c r="N28" s="57"/>
      <x:c r="O28" s="57"/>
      <x:c r="P28" s="57"/>
      <x:c r="Q28" s="57"/>
      <x:c r="R28" s="57"/>
      <x:c r="S28" s="57"/>
      <x:c r="T28" s="57"/>
      <x:c r="U28" s="57"/>
      <x:c r="V28" s="57"/>
      <x:c r="W28" s="57"/>
      <x:c r="X28" s="57"/>
      <x:c r="Y28" s="57"/>
      <x:c r="Z28" s="57"/>
    </x:row>
    <x:row r="29">
      <x:c r="A29" s="226" t="str">
        <x:v>Срок окупаемости, мес.</x:v>
      </x:c>
      <x:c r="B29" s="233" t="n">
        <x:f>'Допущения'!$C$12+'Сравнение'!$B$39/('Сравнение'!$G$31/12)</x:f>
        <x:v>15.376138579053341</x:v>
      </x:c>
      <x:c r="C29" s="233" t="n">
        <x:f>'Допущения'!$C$12+'Сравнение'!$B$39/('Сравнение'!$G$32/12)</x:f>
        <x:v>24.322646458758378</x:v>
      </x:c>
      <x:c r="D29" s="226" t="str">
        <x:v>От начала проекта</x:v>
      </x:c>
      <x:c r="E29" s="57"/>
      <x:c r="F29" s="57"/>
      <x:c r="G29" s="57"/>
      <x:c r="H29" s="57"/>
      <x:c r="I29" s="57"/>
      <x:c r="J29" s="57"/>
      <x:c r="K29" s="57"/>
      <x:c r="L29" s="57"/>
      <x:c r="M29" s="57"/>
      <x:c r="N29" s="57"/>
      <x:c r="O29" s="57"/>
      <x:c r="P29" s="57"/>
      <x:c r="Q29" s="57"/>
      <x:c r="R29" s="57"/>
      <x:c r="S29" s="57"/>
      <x:c r="T29" s="57"/>
      <x:c r="U29" s="57"/>
      <x:c r="V29" s="57"/>
      <x:c r="W29" s="57"/>
      <x:c r="X29" s="57"/>
      <x:c r="Y29" s="57"/>
      <x:c r="Z29" s="57"/>
    </x:row>
    <x:row r="30">
      <x:c r="A30" s="226" t="str">
        <x:v>3-летний ROI</x:v>
      </x:c>
      <x:c r="B30" s="232" t="n">
        <x:f>('Сравнение'!$G$31*3-'Сравнение'!$B$39)/'Сравнение'!$B$39</x:f>
        <x:v>2.839533694651805</x:v>
      </x:c>
      <x:c r="C30" s="232" t="n">
        <x:f>('Сравнение'!$G$32*3-'Сравнение'!$B$39)/'Сравнение'!$B$39</x:f>
        <x:v>0.9647816750178955</x:v>
      </x:c>
      <x:c r="D30" s="226" t="str">
        <x:v>До дисконтирования</x:v>
      </x:c>
      <x:c r="E30" s="57"/>
      <x:c r="F30" s="57"/>
      <x:c r="G30" s="57"/>
      <x:c r="H30" s="57"/>
      <x:c r="I30" s="57"/>
      <x:c r="J30" s="57"/>
      <x:c r="K30" s="57"/>
      <x:c r="L30" s="57"/>
      <x:c r="M30" s="57"/>
      <x:c r="N30" s="57"/>
      <x:c r="O30" s="57"/>
      <x:c r="P30" s="57"/>
      <x:c r="Q30" s="57"/>
      <x:c r="R30" s="57"/>
      <x:c r="S30" s="57"/>
      <x:c r="T30" s="57"/>
      <x:c r="U30" s="57"/>
      <x:c r="V30" s="57"/>
      <x:c r="W30" s="57"/>
      <x:c r="X30" s="57"/>
      <x:c r="Y30" s="57"/>
      <x:c r="Z30" s="57"/>
    </x:row>
    <x:row r="31">
      <x:c r="A31" s="226" t="str">
        <x:v>NPV за 3 года</x:v>
      </x:c>
      <x:c r="B31" s="227" t="n">
        <x:f>IF('Допущения'!$C$24=0,'Сравнение'!$G$31*('Допущения'!$C$25-'Допущения'!$C$12)/12-'Сравнение'!$B$39,-('Сравнение'!$B$39-'Сравнение'!$B$31)-('Сравнение'!$B$31/'Допущения'!$C$12)*((1-(1+'Допущения'!$C$24/12)^(-'Допущения'!$C$12))/('Допущения'!$C$24/12))+('Сравнение'!$G$31/12)*((1-(1+'Допущения'!$C$24/12)^(-('Допущения'!$C$25-'Допущения'!$C$12)))/('Допущения'!$C$24/12))/(1+'Допущения'!$C$24/12)^'Допущения'!$C$12)</x:f>
        <x:v>33953313.13533197</x:v>
      </x:c>
      <x:c r="C31" s="227" t="n">
        <x:f>IF('Допущения'!$C$24=0,'Сравнение'!$G$32*('Допущения'!$C$25-'Допущения'!$C$12)/12-'Сравнение'!$B$39,-('Сравнение'!$B$39-'Сравнение'!$B$31)-('Сравнение'!$B$31/'Допущения'!$C$12)*((1-(1+'Допущения'!$C$24/12)^(-'Допущения'!$C$12))/('Допущения'!$C$24/12))+('Сравнение'!$G$32/12)*((1-(1+'Допущения'!$C$24/12)^(-('Допущения'!$C$25-'Допущения'!$C$12)))/('Допущения'!$C$24/12))/(1+'Допущения'!$C$24/12)^'Допущения'!$C$12)</x:f>
        <x:v>7422522.53737982</x:v>
      </x:c>
      <x:c r="D31" s="226" t="str">
        <x:v>С учетом ставки дисконтирования</x:v>
      </x:c>
      <x:c r="E31" s="57"/>
      <x:c r="F31" s="57"/>
      <x:c r="G31" s="57"/>
      <x:c r="H31" s="57"/>
      <x:c r="I31" s="57"/>
      <x:c r="J31" s="57"/>
      <x:c r="K31" s="57"/>
      <x:c r="L31" s="57"/>
      <x:c r="M31" s="57"/>
      <x:c r="N31" s="57"/>
      <x:c r="O31" s="57"/>
      <x:c r="P31" s="57"/>
      <x:c r="Q31" s="57"/>
      <x:c r="R31" s="57"/>
      <x:c r="S31" s="57"/>
      <x:c r="T31" s="57"/>
      <x:c r="U31" s="57"/>
      <x:c r="V31" s="57"/>
      <x:c r="W31" s="57"/>
      <x:c r="X31" s="57"/>
      <x:c r="Y31" s="57"/>
      <x:c r="Z31" s="57"/>
    </x:row>
    <x:row r="32">
      <x:c r="A32" s="57"/>
      <x:c r="B32" s="57"/>
      <x:c r="C32" s="57"/>
      <x:c r="D32" s="57"/>
      <x:c r="E32" s="57"/>
      <x:c r="F32" s="57"/>
      <x:c r="G32" s="57"/>
      <x:c r="H32" s="57"/>
      <x:c r="I32" s="57"/>
      <x:c r="J32" s="57"/>
      <x:c r="K32" s="57"/>
      <x:c r="L32" s="57"/>
      <x:c r="M32" s="57"/>
      <x:c r="N32" s="57"/>
      <x:c r="O32" s="57"/>
      <x:c r="P32" s="57"/>
      <x:c r="Q32" s="57"/>
      <x:c r="R32" s="57"/>
      <x:c r="S32" s="57"/>
      <x:c r="T32" s="57"/>
      <x:c r="U32" s="57"/>
      <x:c r="V32" s="57"/>
      <x:c r="W32" s="57"/>
      <x:c r="X32" s="57"/>
      <x:c r="Y32" s="57"/>
      <x:c r="Z32" s="57"/>
    </x:row>
    <x:row r="33">
      <x:c r="A33" s="57"/>
      <x:c r="B33" s="57"/>
      <x:c r="C33" s="57"/>
      <x:c r="D33" s="57"/>
      <x:c r="E33" s="57"/>
      <x:c r="F33" s="57"/>
      <x:c r="G33" s="57"/>
      <x:c r="H33" s="57"/>
      <x:c r="I33" s="57"/>
      <x:c r="J33" s="57"/>
      <x:c r="K33" s="57"/>
      <x:c r="L33" s="57"/>
      <x:c r="M33" s="57"/>
      <x:c r="N33" s="57"/>
      <x:c r="O33" s="57"/>
      <x:c r="P33" s="57"/>
      <x:c r="Q33" s="57"/>
      <x:c r="R33" s="57"/>
      <x:c r="S33" s="57"/>
      <x:c r="T33" s="57"/>
      <x:c r="U33" s="57"/>
      <x:c r="V33" s="57"/>
      <x:c r="W33" s="57"/>
      <x:c r="X33" s="57"/>
      <x:c r="Y33" s="57"/>
      <x:c r="Z33" s="57"/>
    </x:row>
    <x:row r="34">
      <x:c r="A34" s="57"/>
      <x:c r="B34" s="57"/>
      <x:c r="C34" s="57"/>
      <x:c r="D34" s="57"/>
      <x:c r="E34" s="57"/>
      <x:c r="F34" s="57"/>
      <x:c r="G34" s="57"/>
      <x:c r="H34" s="57"/>
      <x:c r="I34" s="57"/>
      <x:c r="J34" s="57"/>
      <x:c r="K34" s="57"/>
      <x:c r="L34" s="57"/>
      <x:c r="M34" s="57"/>
      <x:c r="N34" s="57"/>
      <x:c r="O34" s="57"/>
      <x:c r="P34" s="57"/>
      <x:c r="Q34" s="57"/>
      <x:c r="R34" s="57"/>
      <x:c r="S34" s="57"/>
      <x:c r="T34" s="57"/>
      <x:c r="U34" s="57"/>
      <x:c r="V34" s="57"/>
      <x:c r="W34" s="57"/>
      <x:c r="X34" s="57"/>
      <x:c r="Y34" s="57"/>
      <x:c r="Z34" s="57"/>
    </x:row>
    <x:row r="35">
      <x:c r="A35" s="57"/>
      <x:c r="B35" s="57"/>
      <x:c r="C35" s="57"/>
      <x:c r="D35" s="57"/>
      <x:c r="E35" s="57"/>
      <x:c r="F35" s="57"/>
      <x:c r="G35" s="57"/>
      <x:c r="H35" s="57"/>
      <x:c r="I35" s="57"/>
      <x:c r="J35" s="57"/>
      <x:c r="K35" s="57"/>
      <x:c r="L35" s="57"/>
      <x:c r="M35" s="57"/>
      <x:c r="N35" s="57"/>
      <x:c r="O35" s="57"/>
      <x:c r="P35" s="57"/>
      <x:c r="Q35" s="57"/>
      <x:c r="R35" s="57"/>
      <x:c r="S35" s="57"/>
      <x:c r="T35" s="57"/>
      <x:c r="U35" s="57"/>
      <x:c r="V35" s="57"/>
      <x:c r="W35" s="57"/>
      <x:c r="X35" s="57"/>
      <x:c r="Y35" s="57"/>
      <x:c r="Z35" s="57"/>
    </x:row>
    <x:row r="36">
      <x:c r="A36" s="57"/>
      <x:c r="B36" s="57"/>
      <x:c r="C36" s="57"/>
      <x:c r="D36" s="57"/>
      <x:c r="E36" s="57"/>
      <x:c r="F36" s="57"/>
      <x:c r="G36" s="57"/>
      <x:c r="H36" s="57"/>
      <x:c r="I36" s="57"/>
      <x:c r="J36" s="57"/>
      <x:c r="K36" s="57"/>
      <x:c r="L36" s="57"/>
      <x:c r="M36" s="57"/>
      <x:c r="N36" s="57"/>
      <x:c r="O36" s="57"/>
      <x:c r="P36" s="57"/>
      <x:c r="Q36" s="57"/>
      <x:c r="R36" s="57"/>
      <x:c r="S36" s="57"/>
      <x:c r="T36" s="57"/>
      <x:c r="U36" s="57"/>
      <x:c r="V36" s="57"/>
      <x:c r="W36" s="57"/>
      <x:c r="X36" s="57"/>
      <x:c r="Y36" s="57"/>
      <x:c r="Z36" s="57"/>
    </x:row>
    <x:row r="37">
      <x:c r="A37" s="57"/>
      <x:c r="B37" s="57"/>
      <x:c r="C37" s="57"/>
      <x:c r="D37" s="57"/>
      <x:c r="E37" s="57"/>
      <x:c r="F37" s="57"/>
      <x:c r="G37" s="57"/>
      <x:c r="H37" s="57"/>
      <x:c r="I37" s="57"/>
      <x:c r="J37" s="57"/>
      <x:c r="K37" s="57"/>
      <x:c r="L37" s="57"/>
      <x:c r="M37" s="57"/>
      <x:c r="N37" s="57"/>
      <x:c r="O37" s="57"/>
      <x:c r="P37" s="57"/>
      <x:c r="Q37" s="57"/>
      <x:c r="R37" s="57"/>
      <x:c r="S37" s="57"/>
      <x:c r="T37" s="57"/>
      <x:c r="U37" s="57"/>
      <x:c r="V37" s="57"/>
      <x:c r="W37" s="57"/>
      <x:c r="X37" s="57"/>
      <x:c r="Y37" s="57"/>
      <x:c r="Z37" s="57"/>
    </x:row>
    <x:row r="38">
      <x:c r="A38" s="57"/>
      <x:c r="B38" s="57"/>
      <x:c r="C38" s="57"/>
      <x:c r="D38" s="57"/>
      <x:c r="E38" s="57"/>
      <x:c r="F38" s="57"/>
      <x:c r="G38" s="57"/>
      <x:c r="H38" s="57"/>
      <x:c r="I38" s="57"/>
      <x:c r="J38" s="57"/>
      <x:c r="K38" s="57"/>
      <x:c r="L38" s="57"/>
      <x:c r="M38" s="57"/>
      <x:c r="N38" s="57"/>
      <x:c r="O38" s="57"/>
      <x:c r="P38" s="57"/>
      <x:c r="Q38" s="57"/>
      <x:c r="R38" s="57"/>
      <x:c r="S38" s="57"/>
      <x:c r="T38" s="57"/>
      <x:c r="U38" s="57"/>
      <x:c r="V38" s="57"/>
      <x:c r="W38" s="57"/>
      <x:c r="X38" s="57"/>
      <x:c r="Y38" s="57"/>
      <x:c r="Z38" s="57"/>
    </x:row>
    <x:row r="39">
      <x:c r="A39" s="59" t="str">
        <x:v>Кривая безубыточности выбранного сценария</x:v>
      </x:c>
      <x:c r="B39" s="59"/>
      <x:c r="C39" s="59"/>
      <x:c r="D39" s="59"/>
      <x:c r="E39" s="59"/>
      <x:c r="F39" s="59"/>
      <x:c r="G39" s="59"/>
      <x:c r="H39" s="59"/>
      <x:c r="I39" s="59"/>
      <x:c r="J39" s="59"/>
      <x:c r="K39" s="59"/>
      <x:c r="L39" s="59"/>
      <x:c r="M39" s="57"/>
      <x:c r="N39" s="57"/>
      <x:c r="O39" s="57"/>
      <x:c r="P39" s="57"/>
      <x:c r="Q39" s="57"/>
      <x:c r="R39" s="57"/>
      <x:c r="S39" s="57"/>
      <x:c r="T39" s="57"/>
      <x:c r="U39" s="57"/>
      <x:c r="V39" s="57"/>
      <x:c r="W39" s="57"/>
      <x:c r="X39" s="57"/>
      <x:c r="Y39" s="57"/>
      <x:c r="Z39" s="57"/>
    </x:row>
    <x:row r="40">
      <x:c r="A40" s="57"/>
      <x:c r="B40" s="57"/>
      <x:c r="C40" s="57"/>
      <x:c r="D40" s="57"/>
      <x:c r="E40" s="57"/>
      <x:c r="F40" s="57"/>
      <x:c r="G40" s="57"/>
      <x:c r="H40" s="57"/>
      <x:c r="I40" s="57"/>
      <x:c r="J40" s="57"/>
      <x:c r="K40" s="57"/>
      <x:c r="L40" s="57"/>
      <x:c r="M40" s="57"/>
      <x:c r="N40" s="57"/>
      <x:c r="O40" s="57"/>
      <x:c r="P40" s="57"/>
      <x:c r="Q40" s="57"/>
      <x:c r="R40" s="57"/>
      <x:c r="S40" s="57"/>
      <x:c r="T40" s="57"/>
      <x:c r="U40" s="57"/>
      <x:c r="V40" s="57"/>
      <x:c r="W40" s="57"/>
      <x:c r="X40" s="57"/>
      <x:c r="Y40" s="57"/>
      <x:c r="Z40" s="57"/>
    </x:row>
    <x:row r="41">
      <x:c r="A41" s="57"/>
      <x:c r="B41" s="57"/>
      <x:c r="C41" s="57"/>
      <x:c r="D41" s="57"/>
      <x:c r="E41" s="57"/>
      <x:c r="F41" s="57"/>
      <x:c r="G41" s="57"/>
      <x:c r="H41" s="57"/>
      <x:c r="I41" s="57"/>
      <x:c r="J41" s="57"/>
      <x:c r="K41" s="57"/>
      <x:c r="L41" s="57"/>
      <x:c r="M41" s="57"/>
      <x:c r="N41" s="57"/>
      <x:c r="O41" s="57"/>
      <x:c r="P41" s="57"/>
      <x:c r="Q41" s="57"/>
      <x:c r="R41" s="57"/>
      <x:c r="S41" s="57"/>
      <x:c r="T41" s="57"/>
      <x:c r="U41" s="57"/>
      <x:c r="V41" s="57"/>
      <x:c r="W41" s="57"/>
      <x:c r="X41" s="57"/>
      <x:c r="Y41" s="57"/>
      <x:c r="Z41" s="57"/>
    </x:row>
    <x:row r="42">
      <x:c r="A42" s="57"/>
      <x:c r="B42" s="57"/>
      <x:c r="C42" s="57"/>
      <x:c r="D42" s="57"/>
      <x:c r="E42" s="57"/>
      <x:c r="F42" s="57"/>
      <x:c r="G42" s="57"/>
      <x:c r="H42" s="57"/>
      <x:c r="I42" s="57"/>
      <x:c r="J42" s="57"/>
      <x:c r="K42" s="57"/>
      <x:c r="L42" s="57"/>
      <x:c r="M42" s="57"/>
      <x:c r="N42" s="57"/>
      <x:c r="O42" s="57"/>
      <x:c r="P42" s="57"/>
      <x:c r="Q42" s="57"/>
      <x:c r="R42" s="57"/>
      <x:c r="S42" s="57"/>
      <x:c r="T42" s="57"/>
      <x:c r="U42" s="57"/>
      <x:c r="V42" s="57"/>
      <x:c r="W42" s="57"/>
      <x:c r="X42" s="57"/>
      <x:c r="Y42" s="57"/>
      <x:c r="Z42" s="57"/>
    </x:row>
    <x:row r="43">
      <x:c r="A43" s="57"/>
      <x:c r="B43" s="57"/>
      <x:c r="C43" s="57"/>
      <x:c r="D43" s="57"/>
      <x:c r="E43" s="57"/>
      <x:c r="F43" s="57"/>
      <x:c r="G43" s="57"/>
      <x:c r="H43" s="57"/>
      <x:c r="I43" s="57"/>
      <x:c r="J43" s="57"/>
      <x:c r="K43" s="57"/>
      <x:c r="L43" s="57"/>
      <x:c r="M43" s="57"/>
      <x:c r="N43" s="57"/>
      <x:c r="O43" s="57"/>
      <x:c r="P43" s="57"/>
      <x:c r="Q43" s="57"/>
      <x:c r="R43" s="57"/>
      <x:c r="S43" s="57"/>
      <x:c r="T43" s="57"/>
      <x:c r="U43" s="57"/>
      <x:c r="V43" s="57"/>
      <x:c r="W43" s="57"/>
      <x:c r="X43" s="57"/>
      <x:c r="Y43" s="57"/>
      <x:c r="Z43" s="57"/>
    </x:row>
    <x:row r="44">
      <x:c r="A44" s="57"/>
      <x:c r="B44" s="57"/>
      <x:c r="C44" s="57"/>
      <x:c r="D44" s="57"/>
      <x:c r="E44" s="57"/>
      <x:c r="F44" s="57"/>
      <x:c r="G44" s="57"/>
      <x:c r="H44" s="57"/>
      <x:c r="I44" s="57"/>
      <x:c r="J44" s="57"/>
      <x:c r="K44" s="57"/>
      <x:c r="L44" s="57"/>
      <x:c r="M44" s="57"/>
      <x:c r="N44" s="57"/>
      <x:c r="O44" s="57"/>
      <x:c r="P44" s="57"/>
      <x:c r="Q44" s="57"/>
      <x:c r="R44" s="57"/>
      <x:c r="S44" s="57"/>
      <x:c r="T44" s="57"/>
      <x:c r="U44" s="57"/>
      <x:c r="V44" s="57"/>
      <x:c r="W44" s="57"/>
      <x:c r="X44" s="57"/>
      <x:c r="Y44" s="57"/>
      <x:c r="Z44" s="57"/>
    </x:row>
    <x:row r="45">
      <x:c r="A45" s="57"/>
      <x:c r="B45" s="57"/>
      <x:c r="C45" s="57"/>
      <x:c r="D45" s="57"/>
      <x:c r="E45" s="57"/>
      <x:c r="F45" s="57"/>
      <x:c r="G45" s="57"/>
      <x:c r="H45" s="57"/>
      <x:c r="I45" s="57"/>
      <x:c r="J45" s="57"/>
      <x:c r="K45" s="57"/>
      <x:c r="L45" s="57"/>
      <x:c r="M45" s="57"/>
      <x:c r="N45" s="57"/>
      <x:c r="O45" s="57"/>
      <x:c r="P45" s="57"/>
      <x:c r="Q45" s="57"/>
      <x:c r="R45" s="57"/>
      <x:c r="S45" s="57"/>
      <x:c r="T45" s="57"/>
      <x:c r="U45" s="57"/>
      <x:c r="V45" s="57"/>
      <x:c r="W45" s="57"/>
      <x:c r="X45" s="57"/>
      <x:c r="Y45" s="57"/>
      <x:c r="Z45" s="57"/>
    </x:row>
    <x:row r="46">
      <x:c r="A46" s="57"/>
      <x:c r="B46" s="57"/>
      <x:c r="C46" s="57"/>
      <x:c r="D46" s="57"/>
      <x:c r="E46" s="57"/>
      <x:c r="F46" s="57"/>
      <x:c r="G46" s="57"/>
      <x:c r="H46" s="57"/>
      <x:c r="I46" s="57"/>
      <x:c r="J46" s="57"/>
      <x:c r="K46" s="57"/>
      <x:c r="L46" s="57"/>
      <x:c r="M46" s="57"/>
      <x:c r="N46" s="57"/>
      <x:c r="O46" s="57"/>
      <x:c r="P46" s="57"/>
      <x:c r="Q46" s="57"/>
      <x:c r="R46" s="57"/>
      <x:c r="S46" s="57"/>
      <x:c r="T46" s="57"/>
      <x:c r="U46" s="57"/>
      <x:c r="V46" s="57"/>
      <x:c r="W46" s="57"/>
      <x:c r="X46" s="57"/>
      <x:c r="Y46" s="57"/>
      <x:c r="Z46" s="57"/>
    </x:row>
    <x:row r="47">
      <x:c r="A47" s="57"/>
      <x:c r="B47" s="57"/>
      <x:c r="C47" s="57"/>
      <x:c r="D47" s="57"/>
      <x:c r="E47" s="57"/>
      <x:c r="F47" s="57"/>
      <x:c r="G47" s="57"/>
      <x:c r="H47" s="57"/>
      <x:c r="I47" s="57"/>
      <x:c r="J47" s="57"/>
      <x:c r="K47" s="57"/>
      <x:c r="L47" s="57"/>
      <x:c r="M47" s="57"/>
      <x:c r="N47" s="57"/>
      <x:c r="O47" s="57"/>
      <x:c r="P47" s="57"/>
      <x:c r="Q47" s="57"/>
      <x:c r="R47" s="57"/>
      <x:c r="S47" s="57"/>
      <x:c r="T47" s="57"/>
      <x:c r="U47" s="57"/>
      <x:c r="V47" s="57"/>
      <x:c r="W47" s="57"/>
      <x:c r="X47" s="57"/>
      <x:c r="Y47" s="57"/>
      <x:c r="Z47" s="57"/>
    </x:row>
    <x:row r="48">
      <x:c r="A48" s="57"/>
      <x:c r="B48" s="57"/>
      <x:c r="C48" s="57"/>
      <x:c r="D48" s="57"/>
      <x:c r="E48" s="57"/>
      <x:c r="F48" s="57"/>
      <x:c r="G48" s="57"/>
      <x:c r="H48" s="57"/>
      <x:c r="I48" s="57"/>
      <x:c r="J48" s="57"/>
      <x:c r="K48" s="57"/>
      <x:c r="L48" s="57"/>
      <x:c r="M48" s="57"/>
      <x:c r="N48" s="57"/>
      <x:c r="O48" s="57"/>
      <x:c r="P48" s="57"/>
      <x:c r="Q48" s="57"/>
      <x:c r="R48" s="57"/>
      <x:c r="S48" s="57"/>
      <x:c r="T48" s="57"/>
      <x:c r="U48" s="57"/>
      <x:c r="V48" s="57"/>
      <x:c r="W48" s="57"/>
      <x:c r="X48" s="57"/>
      <x:c r="Y48" s="57"/>
      <x:c r="Z48" s="57"/>
    </x:row>
    <x:row r="49">
      <x:c r="A49" s="57"/>
      <x:c r="B49" s="57"/>
      <x:c r="C49" s="57"/>
      <x:c r="D49" s="57"/>
      <x:c r="E49" s="57"/>
      <x:c r="F49" s="57"/>
      <x:c r="G49" s="57"/>
      <x:c r="H49" s="57"/>
      <x:c r="I49" s="57"/>
      <x:c r="J49" s="57"/>
      <x:c r="K49" s="57"/>
      <x:c r="L49" s="57"/>
      <x:c r="M49" s="57"/>
      <x:c r="N49" s="57"/>
      <x:c r="O49" s="57"/>
      <x:c r="P49" s="57"/>
      <x:c r="Q49" s="57"/>
      <x:c r="R49" s="57"/>
      <x:c r="S49" s="57"/>
      <x:c r="T49" s="57"/>
      <x:c r="U49" s="57"/>
      <x:c r="V49" s="57"/>
      <x:c r="W49" s="57"/>
      <x:c r="X49" s="57"/>
      <x:c r="Y49" s="57"/>
      <x:c r="Z49" s="57"/>
    </x:row>
    <x:row r="50">
      <x:c r="A50" s="57"/>
      <x:c r="B50" s="57"/>
      <x:c r="C50" s="57"/>
      <x:c r="D50" s="57"/>
      <x:c r="E50" s="57"/>
      <x:c r="F50" s="57"/>
      <x:c r="G50" s="57"/>
      <x:c r="H50" s="57"/>
      <x:c r="I50" s="57"/>
      <x:c r="J50" s="57"/>
      <x:c r="K50" s="57"/>
      <x:c r="L50" s="57"/>
      <x:c r="M50" s="57"/>
      <x:c r="N50" s="57"/>
      <x:c r="O50" s="57"/>
      <x:c r="P50" s="57"/>
      <x:c r="Q50" s="57"/>
      <x:c r="R50" s="57"/>
      <x:c r="S50" s="57"/>
      <x:c r="T50" s="57"/>
      <x:c r="U50" s="57"/>
      <x:c r="V50" s="57"/>
      <x:c r="W50" s="57"/>
      <x:c r="X50" s="57"/>
      <x:c r="Y50" s="57"/>
      <x:c r="Z50" s="57"/>
    </x:row>
    <x:row r="51">
      <x:c r="A51" s="57"/>
      <x:c r="B51" s="57"/>
      <x:c r="C51" s="57"/>
      <x:c r="D51" s="57"/>
      <x:c r="E51" s="57"/>
      <x:c r="F51" s="57"/>
      <x:c r="G51" s="57"/>
      <x:c r="H51" s="57"/>
      <x:c r="I51" s="57"/>
      <x:c r="J51" s="57"/>
      <x:c r="K51" s="57"/>
      <x:c r="L51" s="57"/>
      <x:c r="M51" s="57"/>
      <x:c r="N51" s="57"/>
      <x:c r="O51" s="57"/>
      <x:c r="P51" s="57"/>
      <x:c r="Q51" s="57"/>
      <x:c r="R51" s="57"/>
      <x:c r="S51" s="57"/>
      <x:c r="T51" s="57"/>
      <x:c r="U51" s="57"/>
      <x:c r="V51" s="57"/>
      <x:c r="W51" s="57"/>
      <x:c r="X51" s="57"/>
      <x:c r="Y51" s="57"/>
      <x:c r="Z51" s="57"/>
    </x:row>
    <x:row r="52">
      <x:c r="A52" s="57"/>
      <x:c r="B52" s="57"/>
      <x:c r="C52" s="57"/>
      <x:c r="D52" s="57"/>
      <x:c r="E52" s="57"/>
      <x:c r="F52" s="57"/>
      <x:c r="G52" s="57"/>
      <x:c r="H52" s="57"/>
      <x:c r="I52" s="57"/>
      <x:c r="J52" s="57"/>
      <x:c r="K52" s="57"/>
      <x:c r="L52" s="57"/>
      <x:c r="M52" s="57"/>
      <x:c r="N52" s="57"/>
      <x:c r="O52" s="57"/>
      <x:c r="P52" s="57"/>
      <x:c r="Q52" s="57"/>
      <x:c r="R52" s="57"/>
      <x:c r="S52" s="57"/>
      <x:c r="T52" s="57"/>
      <x:c r="U52" s="57"/>
      <x:c r="V52" s="57"/>
      <x:c r="W52" s="57"/>
      <x:c r="X52" s="57"/>
      <x:c r="Y52" s="57"/>
      <x:c r="Z52" s="57"/>
    </x:row>
    <x:row r="53">
      <x:c r="A53" s="57"/>
      <x:c r="B53" s="57"/>
      <x:c r="C53" s="57"/>
      <x:c r="D53" s="57"/>
      <x:c r="E53" s="57"/>
      <x:c r="F53" s="57"/>
      <x:c r="G53" s="57"/>
      <x:c r="H53" s="57"/>
      <x:c r="I53" s="57"/>
      <x:c r="J53" s="57"/>
      <x:c r="K53" s="57"/>
      <x:c r="L53" s="57"/>
      <x:c r="M53" s="57"/>
      <x:c r="N53" s="57"/>
      <x:c r="O53" s="57"/>
      <x:c r="P53" s="57"/>
      <x:c r="Q53" s="57"/>
      <x:c r="R53" s="57"/>
      <x:c r="S53" s="57"/>
      <x:c r="T53" s="57"/>
      <x:c r="U53" s="57"/>
      <x:c r="V53" s="57"/>
      <x:c r="W53" s="57"/>
      <x:c r="X53" s="57"/>
      <x:c r="Y53" s="57"/>
      <x:c r="Z53" s="57"/>
    </x:row>
    <x:row r="54">
      <x:c r="A54" s="57"/>
      <x:c r="B54" s="57"/>
      <x:c r="C54" s="57"/>
      <x:c r="D54" s="57"/>
      <x:c r="E54" s="57"/>
      <x:c r="F54" s="57"/>
      <x:c r="G54" s="57"/>
      <x:c r="H54" s="57"/>
      <x:c r="I54" s="57"/>
      <x:c r="J54" s="57"/>
      <x:c r="K54" s="57"/>
      <x:c r="L54" s="57"/>
      <x:c r="M54" s="57"/>
      <x:c r="N54" s="57"/>
      <x:c r="O54" s="57"/>
      <x:c r="P54" s="57"/>
      <x:c r="Q54" s="57"/>
      <x:c r="R54" s="57"/>
      <x:c r="S54" s="57"/>
      <x:c r="T54" s="57"/>
      <x:c r="U54" s="57"/>
      <x:c r="V54" s="57"/>
      <x:c r="W54" s="57"/>
      <x:c r="X54" s="57"/>
      <x:c r="Y54" s="57"/>
      <x:c r="Z54" s="57"/>
    </x:row>
    <x:row r="55">
      <x:c r="A55" s="57"/>
      <x:c r="B55" s="57"/>
      <x:c r="C55" s="57"/>
      <x:c r="D55" s="57"/>
      <x:c r="E55" s="57"/>
      <x:c r="F55" s="57"/>
      <x:c r="G55" s="57"/>
      <x:c r="H55" s="57"/>
      <x:c r="I55" s="57"/>
      <x:c r="J55" s="57"/>
      <x:c r="K55" s="57"/>
      <x:c r="L55" s="57"/>
      <x:c r="M55" s="57"/>
      <x:c r="N55" s="57"/>
      <x:c r="O55" s="57"/>
      <x:c r="P55" s="57"/>
      <x:c r="Q55" s="57"/>
      <x:c r="R55" s="57"/>
      <x:c r="S55" s="57"/>
      <x:c r="T55" s="57"/>
      <x:c r="U55" s="57"/>
      <x:c r="V55" s="57"/>
      <x:c r="W55" s="57"/>
      <x:c r="X55" s="57"/>
      <x:c r="Y55" s="57"/>
      <x:c r="Z55" s="57"/>
    </x:row>
    <x:row r="56">
      <x:c r="A56" s="57"/>
      <x:c r="B56" s="57"/>
      <x:c r="C56" s="57"/>
      <x:c r="D56" s="57"/>
      <x:c r="E56" s="57"/>
      <x:c r="F56" s="57"/>
      <x:c r="G56" s="57"/>
      <x:c r="H56" s="57"/>
      <x:c r="I56" s="57"/>
      <x:c r="J56" s="57"/>
      <x:c r="K56" s="57"/>
      <x:c r="L56" s="57"/>
      <x:c r="M56" s="57"/>
      <x:c r="N56" s="57"/>
      <x:c r="O56" s="57"/>
      <x:c r="P56" s="57"/>
      <x:c r="Q56" s="57"/>
      <x:c r="R56" s="57"/>
      <x:c r="S56" s="57"/>
      <x:c r="T56" s="57"/>
      <x:c r="U56" s="57"/>
      <x:c r="V56" s="57"/>
      <x:c r="W56" s="57"/>
      <x:c r="X56" s="57"/>
      <x:c r="Y56" s="57"/>
      <x:c r="Z56" s="57"/>
    </x:row>
    <x:row r="57">
      <x:c r="A57" s="57"/>
      <x:c r="B57" s="57"/>
      <x:c r="C57" s="57"/>
      <x:c r="D57" s="57"/>
      <x:c r="E57" s="57"/>
      <x:c r="F57" s="57"/>
      <x:c r="G57" s="57"/>
      <x:c r="H57" s="57"/>
      <x:c r="I57" s="57"/>
      <x:c r="J57" s="57"/>
      <x:c r="K57" s="57"/>
      <x:c r="L57" s="57"/>
      <x:c r="M57" s="57"/>
      <x:c r="N57" s="57"/>
      <x:c r="O57" s="57"/>
      <x:c r="P57" s="57"/>
      <x:c r="Q57" s="57"/>
      <x:c r="R57" s="57"/>
      <x:c r="S57" s="57"/>
      <x:c r="T57" s="57"/>
      <x:c r="U57" s="57"/>
      <x:c r="V57" s="57"/>
      <x:c r="W57" s="57"/>
      <x:c r="X57" s="57"/>
      <x:c r="Y57" s="57"/>
      <x:c r="Z57" s="57"/>
    </x:row>
    <x:row r="58">
      <x:c r="A58" s="57"/>
      <x:c r="B58" s="57"/>
      <x:c r="C58" s="57"/>
      <x:c r="D58" s="57"/>
      <x:c r="E58" s="57"/>
      <x:c r="F58" s="57"/>
      <x:c r="G58" s="57"/>
      <x:c r="H58" s="57"/>
      <x:c r="I58" s="57"/>
      <x:c r="J58" s="57"/>
      <x:c r="K58" s="57"/>
      <x:c r="L58" s="57"/>
      <x:c r="M58" s="57"/>
      <x:c r="N58" s="57"/>
      <x:c r="O58" s="57"/>
      <x:c r="P58" s="57"/>
      <x:c r="Q58" s="57"/>
      <x:c r="R58" s="57"/>
      <x:c r="S58" s="57"/>
      <x:c r="T58" s="57"/>
      <x:c r="U58" s="57"/>
      <x:c r="V58" s="57"/>
      <x:c r="W58" s="57"/>
      <x:c r="X58" s="57"/>
      <x:c r="Y58" s="57"/>
      <x:c r="Z58" s="57"/>
    </x:row>
    <x:row r="59">
      <x:c r="A59" s="234" t="str">
        <x:v>Вывод: платформа создает эффект за счет трех независимых механизмов — сокращения ручной обработки, уменьшения времени незамеченного простоя и ускорения подключения новых источников. Базовая модель отделяет первоначальный бюджет проекта от ежегодных эксплуатационных расходов и показывает срок окупаемости на помесячной кривой.</x:v>
      </x:c>
      <x:c r="B59" s="234"/>
      <x:c r="C59" s="234"/>
      <x:c r="D59" s="234"/>
      <x:c r="E59" s="234"/>
      <x:c r="F59" s="234"/>
      <x:c r="G59" s="234"/>
      <x:c r="H59" s="234"/>
      <x:c r="I59" s="234"/>
      <x:c r="J59" s="234"/>
      <x:c r="K59" s="234"/>
      <x:c r="L59" s="234"/>
      <x:c r="M59" s="57"/>
      <x:c r="N59" s="57"/>
      <x:c r="O59" s="57"/>
      <x:c r="P59" s="57"/>
      <x:c r="Q59" s="57"/>
      <x:c r="R59" s="57"/>
      <x:c r="S59" s="57"/>
      <x:c r="T59" s="57"/>
      <x:c r="U59" s="57"/>
      <x:c r="V59" s="57"/>
      <x:c r="W59" s="57"/>
      <x:c r="X59" s="57"/>
      <x:c r="Y59" s="57"/>
      <x:c r="Z59" s="57"/>
    </x:row>
    <x:row r="60">
      <x:c r="A60" s="234"/>
      <x:c r="B60" s="234"/>
      <x:c r="C60" s="234"/>
      <x:c r="D60" s="234"/>
      <x:c r="E60" s="234"/>
      <x:c r="F60" s="234"/>
      <x:c r="G60" s="234"/>
      <x:c r="H60" s="234"/>
      <x:c r="I60" s="234"/>
      <x:c r="J60" s="234"/>
      <x:c r="K60" s="234"/>
      <x:c r="L60" s="234"/>
      <x:c r="M60" s="57"/>
      <x:c r="N60" s="57"/>
      <x:c r="O60" s="57"/>
      <x:c r="P60" s="57"/>
      <x:c r="Q60" s="57"/>
      <x:c r="R60" s="57"/>
      <x:c r="S60" s="57"/>
      <x:c r="T60" s="57"/>
      <x:c r="U60" s="57"/>
      <x:c r="V60" s="57"/>
      <x:c r="W60" s="57"/>
      <x:c r="X60" s="57"/>
      <x:c r="Y60" s="57"/>
      <x:c r="Z60" s="57"/>
    </x:row>
    <x:row r="61">
      <x:c r="A61" s="234"/>
      <x:c r="B61" s="234"/>
      <x:c r="C61" s="234"/>
      <x:c r="D61" s="234"/>
      <x:c r="E61" s="234"/>
      <x:c r="F61" s="234"/>
      <x:c r="G61" s="234"/>
      <x:c r="H61" s="234"/>
      <x:c r="I61" s="234"/>
      <x:c r="J61" s="234"/>
      <x:c r="K61" s="234"/>
      <x:c r="L61" s="234"/>
      <x:c r="M61" s="57"/>
      <x:c r="N61" s="57"/>
      <x:c r="O61" s="57"/>
      <x:c r="P61" s="57"/>
      <x:c r="Q61" s="57"/>
      <x:c r="R61" s="57"/>
      <x:c r="S61" s="57"/>
      <x:c r="T61" s="57"/>
      <x:c r="U61" s="57"/>
      <x:c r="V61" s="57"/>
      <x:c r="W61" s="57"/>
      <x:c r="X61" s="57"/>
      <x:c r="Y61" s="57"/>
      <x:c r="Z61" s="57"/>
    </x:row>
    <x:row r="62">
      <x:c r="A62" s="57"/>
      <x:c r="B62" s="57"/>
      <x:c r="C62" s="57"/>
      <x:c r="D62" s="57"/>
      <x:c r="E62" s="57"/>
      <x:c r="F62" s="57"/>
      <x:c r="G62" s="57"/>
      <x:c r="H62" s="57"/>
      <x:c r="I62" s="57"/>
      <x:c r="J62" s="57"/>
      <x:c r="K62" s="57"/>
      <x:c r="L62" s="57"/>
      <x:c r="M62" s="57"/>
      <x:c r="N62" s="57"/>
      <x:c r="O62" s="57"/>
      <x:c r="P62" s="57"/>
      <x:c r="Q62" s="57"/>
      <x:c r="R62" s="57"/>
      <x:c r="S62" s="57"/>
      <x:c r="T62" s="57"/>
      <x:c r="U62" s="57"/>
      <x:c r="V62" s="57"/>
      <x:c r="W62" s="57"/>
      <x:c r="X62" s="57"/>
      <x:c r="Y62" s="57"/>
      <x:c r="Z62" s="57"/>
    </x:row>
    <x:row r="63">
      <x:c r="A63" s="235" t="str">
        <x:v>Все значения являются примерными и предназначены для учебных целей. Для защиты рекомендуется показать базовый сценарий, затем изменить долю сокращения труда и число инцидентов на листе «Допущения» и продемонстрировать чувствительность результата.</x:v>
      </x:c>
      <x:c r="B63" s="235"/>
      <x:c r="C63" s="235"/>
      <x:c r="D63" s="235"/>
      <x:c r="E63" s="235"/>
      <x:c r="F63" s="235"/>
      <x:c r="G63" s="235"/>
      <x:c r="H63" s="235"/>
      <x:c r="I63" s="235"/>
      <x:c r="J63" s="235"/>
      <x:c r="K63" s="235"/>
      <x:c r="L63" s="235"/>
      <x:c r="M63" s="57"/>
      <x:c r="N63" s="57"/>
      <x:c r="O63" s="57"/>
      <x:c r="P63" s="57"/>
      <x:c r="Q63" s="57"/>
      <x:c r="R63" s="57"/>
      <x:c r="S63" s="57"/>
      <x:c r="T63" s="57"/>
      <x:c r="U63" s="57"/>
      <x:c r="V63" s="57"/>
      <x:c r="W63" s="57"/>
      <x:c r="X63" s="57"/>
      <x:c r="Y63" s="57"/>
      <x:c r="Z63" s="57"/>
    </x:row>
    <x:row r="64">
      <x:c r="A64" s="235"/>
      <x:c r="B64" s="235"/>
      <x:c r="C64" s="235"/>
      <x:c r="D64" s="235"/>
      <x:c r="E64" s="235"/>
      <x:c r="F64" s="235"/>
      <x:c r="G64" s="235"/>
      <x:c r="H64" s="235"/>
      <x:c r="I64" s="235"/>
      <x:c r="J64" s="235"/>
      <x:c r="K64" s="235"/>
      <x:c r="L64" s="235"/>
      <x:c r="M64" s="57"/>
      <x:c r="N64" s="57"/>
      <x:c r="O64" s="57"/>
      <x:c r="P64" s="57"/>
      <x:c r="Q64" s="57"/>
      <x:c r="R64" s="57"/>
      <x:c r="S64" s="57"/>
      <x:c r="T64" s="57"/>
      <x:c r="U64" s="57"/>
      <x:c r="V64" s="57"/>
      <x:c r="W64" s="57"/>
      <x:c r="X64" s="57"/>
      <x:c r="Y64" s="57"/>
      <x:c r="Z64" s="57"/>
    </x:row>
    <x:row r="65">
      <x:c r="A65" s="235"/>
      <x:c r="B65" s="235"/>
      <x:c r="C65" s="235"/>
      <x:c r="D65" s="235"/>
      <x:c r="E65" s="235"/>
      <x:c r="F65" s="235"/>
      <x:c r="G65" s="235"/>
      <x:c r="H65" s="235"/>
      <x:c r="I65" s="235"/>
      <x:c r="J65" s="235"/>
      <x:c r="K65" s="235"/>
      <x:c r="L65" s="235"/>
      <x:c r="M65" s="57"/>
      <x:c r="N65" s="57"/>
      <x:c r="O65" s="57"/>
      <x:c r="P65" s="57"/>
      <x:c r="Q65" s="57"/>
      <x:c r="R65" s="57"/>
      <x:c r="S65" s="57"/>
      <x:c r="T65" s="57"/>
      <x:c r="U65" s="57"/>
      <x:c r="V65" s="57"/>
      <x:c r="W65" s="57"/>
      <x:c r="X65" s="57"/>
      <x:c r="Y65" s="57"/>
      <x:c r="Z65" s="57"/>
    </x:row>
    <x:row r="66">
      <x:c r="A66" s="57"/>
      <x:c r="B66" s="57"/>
      <x:c r="C66" s="57"/>
      <x:c r="D66" s="57"/>
      <x:c r="E66" s="57"/>
      <x:c r="F66" s="57"/>
      <x:c r="G66" s="57"/>
      <x:c r="H66" s="57"/>
      <x:c r="I66" s="57"/>
      <x:c r="J66" s="57"/>
      <x:c r="K66" s="57"/>
      <x:c r="L66" s="57"/>
      <x:c r="M66" s="57"/>
      <x:c r="N66" s="57"/>
      <x:c r="O66" s="57"/>
      <x:c r="P66" s="57"/>
      <x:c r="Q66" s="57"/>
      <x:c r="R66" s="57"/>
      <x:c r="S66" s="57"/>
      <x:c r="T66" s="57"/>
      <x:c r="U66" s="57"/>
      <x:c r="V66" s="57"/>
      <x:c r="W66" s="57"/>
      <x:c r="X66" s="57"/>
      <x:c r="Y66" s="57"/>
      <x:c r="Z66" s="57"/>
    </x:row>
    <x:row r="67">
      <x:c r="A67" s="57"/>
      <x:c r="B67" s="57"/>
      <x:c r="C67" s="57"/>
      <x:c r="D67" s="57"/>
      <x:c r="E67" s="57"/>
      <x:c r="F67" s="57"/>
      <x:c r="G67" s="57"/>
      <x:c r="H67" s="57"/>
      <x:c r="I67" s="57"/>
      <x:c r="J67" s="57"/>
      <x:c r="K67" s="57"/>
      <x:c r="L67" s="57"/>
      <x:c r="M67" s="57"/>
      <x:c r="N67" s="57"/>
      <x:c r="O67" s="57"/>
      <x:c r="P67" s="57"/>
      <x:c r="Q67" s="57"/>
      <x:c r="R67" s="57"/>
      <x:c r="S67" s="57"/>
      <x:c r="T67" s="57"/>
      <x:c r="U67" s="57"/>
      <x:c r="V67" s="57"/>
      <x:c r="W67" s="57"/>
      <x:c r="X67" s="57"/>
      <x:c r="Y67" s="57"/>
      <x:c r="Z67" s="57"/>
    </x:row>
    <x:row r="68">
      <x:c r="A68" s="57"/>
      <x:c r="B68" s="57"/>
      <x:c r="C68" s="57"/>
      <x:c r="D68" s="57"/>
      <x:c r="E68" s="57"/>
      <x:c r="F68" s="57"/>
      <x:c r="G68" s="57"/>
      <x:c r="H68" s="57"/>
      <x:c r="I68" s="57"/>
      <x:c r="J68" s="57"/>
      <x:c r="K68" s="57"/>
      <x:c r="L68" s="57"/>
      <x:c r="M68" s="57"/>
      <x:c r="N68" s="57"/>
      <x:c r="O68" s="57"/>
      <x:c r="P68" s="57"/>
      <x:c r="Q68" s="57"/>
      <x:c r="R68" s="57"/>
      <x:c r="S68" s="57"/>
      <x:c r="T68" s="57"/>
      <x:c r="U68" s="57"/>
      <x:c r="V68" s="57"/>
      <x:c r="W68" s="57"/>
      <x:c r="X68" s="57"/>
      <x:c r="Y68" s="57"/>
      <x:c r="Z68" s="57"/>
    </x:row>
    <x:row r="69">
      <x:c r="A69" s="57"/>
      <x:c r="B69" s="57"/>
      <x:c r="C69" s="57"/>
      <x:c r="D69" s="57"/>
      <x:c r="E69" s="57"/>
      <x:c r="F69" s="57"/>
      <x:c r="G69" s="57"/>
      <x:c r="H69" s="57"/>
      <x:c r="I69" s="57"/>
      <x:c r="J69" s="57"/>
      <x:c r="K69" s="57"/>
      <x:c r="L69" s="57"/>
      <x:c r="M69" s="57"/>
      <x:c r="N69" s="57"/>
      <x:c r="O69" s="57"/>
      <x:c r="P69" s="57"/>
      <x:c r="Q69" s="57"/>
      <x:c r="R69" s="57"/>
      <x:c r="S69" s="57"/>
      <x:c r="T69" s="57"/>
      <x:c r="U69" s="57"/>
      <x:c r="V69" s="57"/>
      <x:c r="W69" s="57"/>
      <x:c r="X69" s="57"/>
      <x:c r="Y69" s="57"/>
      <x:c r="Z69" s="57"/>
    </x:row>
    <x:row r="70">
      <x:c r="A70" s="57"/>
      <x:c r="B70" s="57"/>
      <x:c r="C70" s="57"/>
      <x:c r="D70" s="57"/>
      <x:c r="E70" s="57"/>
      <x:c r="F70" s="57"/>
      <x:c r="G70" s="57"/>
      <x:c r="H70" s="57"/>
      <x:c r="I70" s="57"/>
      <x:c r="J70" s="57"/>
      <x:c r="K70" s="57"/>
      <x:c r="L70" s="57"/>
      <x:c r="M70" s="57"/>
      <x:c r="N70" s="57"/>
      <x:c r="O70" s="57"/>
      <x:c r="P70" s="57"/>
      <x:c r="Q70" s="57"/>
      <x:c r="R70" s="57"/>
      <x:c r="S70" s="57"/>
      <x:c r="T70" s="57"/>
      <x:c r="U70" s="57"/>
      <x:c r="V70" s="57"/>
      <x:c r="W70" s="57"/>
      <x:c r="X70" s="57"/>
      <x:c r="Y70" s="57"/>
      <x:c r="Z70" s="57"/>
    </x:row>
    <x:row r="71">
      <x:c r="A71" s="57"/>
      <x:c r="B71" s="57"/>
      <x:c r="C71" s="57"/>
      <x:c r="D71" s="57"/>
      <x:c r="E71" s="57"/>
      <x:c r="F71" s="57"/>
      <x:c r="G71" s="57"/>
      <x:c r="H71" s="57"/>
      <x:c r="I71" s="57"/>
      <x:c r="J71" s="57"/>
      <x:c r="K71" s="57"/>
      <x:c r="L71" s="57"/>
      <x:c r="M71" s="57"/>
      <x:c r="N71" s="57"/>
      <x:c r="O71" s="57"/>
      <x:c r="P71" s="57"/>
      <x:c r="Q71" s="57"/>
      <x:c r="R71" s="57"/>
      <x:c r="S71" s="57"/>
      <x:c r="T71" s="57"/>
      <x:c r="U71" s="57"/>
      <x:c r="V71" s="57"/>
      <x:c r="W71" s="57"/>
      <x:c r="X71" s="57"/>
      <x:c r="Y71" s="57"/>
      <x:c r="Z71" s="57"/>
    </x:row>
    <x:row r="72">
      <x:c r="A72" s="57"/>
      <x:c r="B72" s="57"/>
      <x:c r="C72" s="57"/>
      <x:c r="D72" s="57"/>
      <x:c r="E72" s="57"/>
      <x:c r="F72" s="57"/>
      <x:c r="G72" s="57"/>
      <x:c r="H72" s="57"/>
      <x:c r="I72" s="57"/>
      <x:c r="J72" s="57"/>
      <x:c r="K72" s="57"/>
      <x:c r="L72" s="57"/>
      <x:c r="M72" s="57"/>
      <x:c r="N72" s="57"/>
      <x:c r="O72" s="57"/>
      <x:c r="P72" s="57"/>
      <x:c r="Q72" s="57"/>
      <x:c r="R72" s="57"/>
      <x:c r="S72" s="57"/>
      <x:c r="T72" s="57"/>
      <x:c r="U72" s="57"/>
      <x:c r="V72" s="57"/>
      <x:c r="W72" s="57"/>
      <x:c r="X72" s="57"/>
      <x:c r="Y72" s="57"/>
      <x:c r="Z72" s="57"/>
    </x:row>
    <x:row r="73">
      <x:c r="A73" s="57"/>
      <x:c r="B73" s="57"/>
      <x:c r="C73" s="57"/>
      <x:c r="D73" s="57"/>
      <x:c r="E73" s="57"/>
      <x:c r="F73" s="57"/>
      <x:c r="G73" s="57"/>
      <x:c r="H73" s="57"/>
      <x:c r="I73" s="57"/>
      <x:c r="J73" s="57"/>
      <x:c r="K73" s="57"/>
      <x:c r="L73" s="57"/>
      <x:c r="M73" s="57"/>
      <x:c r="N73" s="57"/>
      <x:c r="O73" s="57"/>
      <x:c r="P73" s="57"/>
      <x:c r="Q73" s="57"/>
      <x:c r="R73" s="57"/>
      <x:c r="S73" s="57"/>
      <x:c r="T73" s="57"/>
      <x:c r="U73" s="57"/>
      <x:c r="V73" s="57"/>
      <x:c r="W73" s="57"/>
      <x:c r="X73" s="57"/>
      <x:c r="Y73" s="57"/>
      <x:c r="Z73" s="57"/>
    </x:row>
    <x:row r="74">
      <x:c r="A74" s="57"/>
      <x:c r="B74" s="57"/>
      <x:c r="C74" s="57"/>
      <x:c r="D74" s="57"/>
      <x:c r="E74" s="57"/>
      <x:c r="F74" s="57"/>
      <x:c r="G74" s="57"/>
      <x:c r="H74" s="57"/>
      <x:c r="I74" s="57"/>
      <x:c r="J74" s="57"/>
      <x:c r="K74" s="57"/>
      <x:c r="L74" s="57"/>
      <x:c r="M74" s="57"/>
      <x:c r="N74" s="57"/>
      <x:c r="O74" s="57"/>
      <x:c r="P74" s="57"/>
      <x:c r="Q74" s="57"/>
      <x:c r="R74" s="57"/>
      <x:c r="S74" s="57"/>
      <x:c r="T74" s="57"/>
      <x:c r="U74" s="57"/>
      <x:c r="V74" s="57"/>
      <x:c r="W74" s="57"/>
      <x:c r="X74" s="57"/>
      <x:c r="Y74" s="57"/>
      <x:c r="Z74" s="57"/>
    </x:row>
    <x:row r="75">
      <x:c r="A75" s="57"/>
      <x:c r="B75" s="57"/>
      <x:c r="C75" s="57"/>
      <x:c r="D75" s="57"/>
      <x:c r="E75" s="57"/>
      <x:c r="F75" s="57"/>
      <x:c r="G75" s="57"/>
      <x:c r="H75" s="57"/>
      <x:c r="I75" s="57"/>
      <x:c r="J75" s="57"/>
      <x:c r="K75" s="57"/>
      <x:c r="L75" s="57"/>
      <x:c r="M75" s="57"/>
      <x:c r="N75" s="57"/>
      <x:c r="O75" s="57"/>
      <x:c r="P75" s="57"/>
      <x:c r="Q75" s="57"/>
      <x:c r="R75" s="57"/>
      <x:c r="S75" s="57"/>
      <x:c r="T75" s="57"/>
      <x:c r="U75" s="57"/>
      <x:c r="V75" s="57"/>
      <x:c r="W75" s="57"/>
      <x:c r="X75" s="57"/>
      <x:c r="Y75" s="57"/>
      <x:c r="Z75" s="57"/>
    </x:row>
    <x:row r="76">
      <x:c r="A76" s="57"/>
      <x:c r="B76" s="57"/>
      <x:c r="C76" s="57"/>
      <x:c r="D76" s="57"/>
      <x:c r="E76" s="57"/>
      <x:c r="F76" s="57"/>
      <x:c r="G76" s="57"/>
      <x:c r="H76" s="57"/>
      <x:c r="I76" s="57"/>
      <x:c r="J76" s="57"/>
      <x:c r="K76" s="57"/>
      <x:c r="L76" s="57"/>
      <x:c r="M76" s="57"/>
      <x:c r="N76" s="57"/>
      <x:c r="O76" s="57"/>
      <x:c r="P76" s="57"/>
      <x:c r="Q76" s="57"/>
      <x:c r="R76" s="57"/>
      <x:c r="S76" s="57"/>
      <x:c r="T76" s="57"/>
      <x:c r="U76" s="57"/>
      <x:c r="V76" s="57"/>
      <x:c r="W76" s="57"/>
      <x:c r="X76" s="57"/>
      <x:c r="Y76" s="57"/>
      <x:c r="Z76" s="57"/>
    </x:row>
    <x:row r="77">
      <x:c r="A77" s="57"/>
      <x:c r="B77" s="57"/>
      <x:c r="C77" s="57"/>
      <x:c r="D77" s="57"/>
      <x:c r="E77" s="57"/>
      <x:c r="F77" s="57"/>
      <x:c r="G77" s="57"/>
      <x:c r="H77" s="57"/>
      <x:c r="I77" s="57"/>
      <x:c r="J77" s="57"/>
      <x:c r="K77" s="57"/>
      <x:c r="L77" s="57"/>
      <x:c r="M77" s="57"/>
      <x:c r="N77" s="57"/>
      <x:c r="O77" s="57"/>
      <x:c r="P77" s="57"/>
      <x:c r="Q77" s="57"/>
      <x:c r="R77" s="57"/>
      <x:c r="S77" s="57"/>
      <x:c r="T77" s="57"/>
      <x:c r="U77" s="57"/>
      <x:c r="V77" s="57"/>
      <x:c r="W77" s="57"/>
      <x:c r="X77" s="57"/>
      <x:c r="Y77" s="57"/>
      <x:c r="Z77" s="57"/>
    </x:row>
    <x:row r="78">
      <x:c r="A78" s="57"/>
      <x:c r="B78" s="57"/>
      <x:c r="C78" s="57"/>
      <x:c r="D78" s="57"/>
      <x:c r="E78" s="57"/>
      <x:c r="F78" s="57"/>
      <x:c r="G78" s="57"/>
      <x:c r="H78" s="57"/>
      <x:c r="I78" s="57"/>
      <x:c r="J78" s="57"/>
      <x:c r="K78" s="57"/>
      <x:c r="L78" s="57"/>
      <x:c r="M78" s="57"/>
      <x:c r="N78" s="57"/>
      <x:c r="O78" s="57"/>
      <x:c r="P78" s="57"/>
      <x:c r="Q78" s="57"/>
      <x:c r="R78" s="57"/>
      <x:c r="S78" s="57"/>
      <x:c r="T78" s="57"/>
      <x:c r="U78" s="57"/>
      <x:c r="V78" s="57"/>
      <x:c r="W78" s="57"/>
      <x:c r="X78" s="57"/>
      <x:c r="Y78" s="57"/>
      <x:c r="Z78" s="57"/>
    </x:row>
    <x:row r="79">
      <x:c r="A79" s="57"/>
      <x:c r="B79" s="57"/>
      <x:c r="C79" s="57"/>
      <x:c r="D79" s="57"/>
      <x:c r="E79" s="57"/>
      <x:c r="F79" s="57"/>
      <x:c r="G79" s="57"/>
      <x:c r="H79" s="57"/>
      <x:c r="I79" s="57"/>
      <x:c r="J79" s="57"/>
      <x:c r="K79" s="57"/>
      <x:c r="L79" s="57"/>
      <x:c r="M79" s="57"/>
      <x:c r="N79" s="57"/>
      <x:c r="O79" s="57"/>
      <x:c r="P79" s="57"/>
      <x:c r="Q79" s="57"/>
      <x:c r="R79" s="57"/>
      <x:c r="S79" s="57"/>
      <x:c r="T79" s="57"/>
      <x:c r="U79" s="57"/>
      <x:c r="V79" s="57"/>
      <x:c r="W79" s="57"/>
      <x:c r="X79" s="57"/>
      <x:c r="Y79" s="57"/>
      <x:c r="Z79" s="57"/>
    </x:row>
    <x:row r="80">
      <x:c r="A80" s="57"/>
      <x:c r="B80" s="57"/>
      <x:c r="C80" s="57"/>
      <x:c r="D80" s="57"/>
      <x:c r="E80" s="57"/>
      <x:c r="F80" s="57"/>
      <x:c r="G80" s="57"/>
      <x:c r="H80" s="57"/>
      <x:c r="I80" s="57"/>
      <x:c r="J80" s="57"/>
      <x:c r="K80" s="57"/>
      <x:c r="L80" s="57"/>
      <x:c r="M80" s="57"/>
      <x:c r="N80" s="57"/>
      <x:c r="O80" s="57"/>
      <x:c r="P80" s="57"/>
      <x:c r="Q80" s="57"/>
      <x:c r="R80" s="57"/>
      <x:c r="S80" s="57"/>
      <x:c r="T80" s="57"/>
      <x:c r="U80" s="57"/>
      <x:c r="V80" s="57"/>
      <x:c r="W80" s="57"/>
      <x:c r="X80" s="57"/>
      <x:c r="Y80" s="57"/>
      <x:c r="Z80" s="57"/>
    </x:row>
    <x:row r="81">
      <x:c r="A81" s="57"/>
      <x:c r="B81" s="57"/>
      <x:c r="C81" s="57"/>
      <x:c r="D81" s="57"/>
      <x:c r="E81" s="57"/>
      <x:c r="F81" s="57"/>
      <x:c r="G81" s="57"/>
      <x:c r="H81" s="57"/>
      <x:c r="I81" s="57"/>
      <x:c r="J81" s="57"/>
      <x:c r="K81" s="57"/>
      <x:c r="L81" s="57"/>
      <x:c r="M81" s="57"/>
      <x:c r="N81" s="57"/>
      <x:c r="O81" s="57"/>
      <x:c r="P81" s="57"/>
      <x:c r="Q81" s="57"/>
      <x:c r="R81" s="57"/>
      <x:c r="S81" s="57"/>
      <x:c r="T81" s="57"/>
      <x:c r="U81" s="57"/>
      <x:c r="V81" s="57"/>
      <x:c r="W81" s="57"/>
      <x:c r="X81" s="57"/>
      <x:c r="Y81" s="57"/>
      <x:c r="Z81" s="57"/>
    </x:row>
    <x:row r="82">
      <x:c r="A82" s="57"/>
      <x:c r="B82" s="57"/>
      <x:c r="C82" s="57"/>
      <x:c r="D82" s="57"/>
      <x:c r="E82" s="57"/>
      <x:c r="F82" s="57"/>
      <x:c r="G82" s="57"/>
      <x:c r="H82" s="57"/>
      <x:c r="I82" s="57"/>
      <x:c r="J82" s="57"/>
      <x:c r="K82" s="57"/>
      <x:c r="L82" s="57"/>
      <x:c r="M82" s="57"/>
      <x:c r="N82" s="57"/>
      <x:c r="O82" s="57"/>
      <x:c r="P82" s="57"/>
      <x:c r="Q82" s="57"/>
      <x:c r="R82" s="57"/>
      <x:c r="S82" s="57"/>
      <x:c r="T82" s="57"/>
      <x:c r="U82" s="57"/>
      <x:c r="V82" s="57"/>
      <x:c r="W82" s="57"/>
      <x:c r="X82" s="57"/>
      <x:c r="Y82" s="57"/>
      <x:c r="Z82" s="57"/>
    </x:row>
    <x:row r="83">
      <x:c r="A83" s="57"/>
      <x:c r="B83" s="57"/>
      <x:c r="C83" s="57"/>
      <x:c r="D83" s="57"/>
      <x:c r="E83" s="57"/>
      <x:c r="F83" s="57"/>
      <x:c r="G83" s="57"/>
      <x:c r="H83" s="57"/>
      <x:c r="I83" s="57"/>
      <x:c r="J83" s="57"/>
      <x:c r="K83" s="57"/>
      <x:c r="L83" s="57"/>
      <x:c r="M83" s="57"/>
      <x:c r="N83" s="57"/>
      <x:c r="O83" s="57"/>
      <x:c r="P83" s="57"/>
      <x:c r="Q83" s="57"/>
      <x:c r="R83" s="57"/>
      <x:c r="S83" s="57"/>
      <x:c r="T83" s="57"/>
      <x:c r="U83" s="57"/>
      <x:c r="V83" s="57"/>
      <x:c r="W83" s="57"/>
      <x:c r="X83" s="57"/>
      <x:c r="Y83" s="57"/>
      <x:c r="Z83" s="57"/>
    </x:row>
    <x:row r="84">
      <x:c r="A84" s="57"/>
      <x:c r="B84" s="57"/>
      <x:c r="C84" s="57"/>
      <x:c r="D84" s="57"/>
      <x:c r="E84" s="57"/>
      <x:c r="F84" s="57"/>
      <x:c r="G84" s="57"/>
      <x:c r="H84" s="57"/>
      <x:c r="I84" s="57"/>
      <x:c r="J84" s="57"/>
      <x:c r="K84" s="57"/>
      <x:c r="L84" s="57"/>
      <x:c r="M84" s="57"/>
      <x:c r="N84" s="57"/>
      <x:c r="O84" s="57"/>
      <x:c r="P84" s="57"/>
      <x:c r="Q84" s="57"/>
      <x:c r="R84" s="57"/>
      <x:c r="S84" s="57"/>
      <x:c r="T84" s="57"/>
      <x:c r="U84" s="57"/>
      <x:c r="V84" s="57"/>
      <x:c r="W84" s="57"/>
      <x:c r="X84" s="57"/>
      <x:c r="Y84" s="57"/>
      <x:c r="Z84" s="57"/>
    </x:row>
    <x:row r="85">
      <x:c r="A85" s="57"/>
      <x:c r="B85" s="57"/>
      <x:c r="C85" s="57"/>
      <x:c r="D85" s="57"/>
      <x:c r="E85" s="57"/>
      <x:c r="F85" s="57"/>
      <x:c r="G85" s="57"/>
      <x:c r="H85" s="57"/>
      <x:c r="I85" s="57"/>
      <x:c r="J85" s="57"/>
      <x:c r="K85" s="57"/>
      <x:c r="L85" s="57"/>
      <x:c r="M85" s="57"/>
      <x:c r="N85" s="57"/>
      <x:c r="O85" s="57"/>
      <x:c r="P85" s="57"/>
      <x:c r="Q85" s="57"/>
      <x:c r="R85" s="57"/>
      <x:c r="S85" s="57"/>
      <x:c r="T85" s="57"/>
      <x:c r="U85" s="57"/>
      <x:c r="V85" s="57"/>
      <x:c r="W85" s="57"/>
      <x:c r="X85" s="57"/>
      <x:c r="Y85" s="57"/>
      <x:c r="Z85" s="57"/>
    </x:row>
    <x:row r="86">
      <x:c r="A86" s="57"/>
      <x:c r="B86" s="57"/>
      <x:c r="C86" s="57"/>
      <x:c r="D86" s="57"/>
      <x:c r="E86" s="57"/>
      <x:c r="F86" s="57"/>
      <x:c r="G86" s="57"/>
      <x:c r="H86" s="57"/>
      <x:c r="I86" s="57"/>
      <x:c r="J86" s="57"/>
      <x:c r="K86" s="57"/>
      <x:c r="L86" s="57"/>
      <x:c r="M86" s="57"/>
      <x:c r="N86" s="57"/>
      <x:c r="O86" s="57"/>
      <x:c r="P86" s="57"/>
      <x:c r="Q86" s="57"/>
      <x:c r="R86" s="57"/>
      <x:c r="S86" s="57"/>
      <x:c r="T86" s="57"/>
      <x:c r="U86" s="57"/>
      <x:c r="V86" s="57"/>
      <x:c r="W86" s="57"/>
      <x:c r="X86" s="57"/>
      <x:c r="Y86" s="57"/>
      <x:c r="Z86" s="57"/>
    </x:row>
    <x:row r="87">
      <x:c r="A87" s="57"/>
      <x:c r="B87" s="57"/>
      <x:c r="C87" s="57"/>
      <x:c r="D87" s="57"/>
      <x:c r="E87" s="57"/>
      <x:c r="F87" s="57"/>
      <x:c r="G87" s="57"/>
      <x:c r="H87" s="57"/>
      <x:c r="I87" s="57"/>
      <x:c r="J87" s="57"/>
      <x:c r="K87" s="57"/>
      <x:c r="L87" s="57"/>
      <x:c r="M87" s="57"/>
      <x:c r="N87" s="57"/>
      <x:c r="O87" s="57"/>
      <x:c r="P87" s="57"/>
      <x:c r="Q87" s="57"/>
      <x:c r="R87" s="57"/>
      <x:c r="S87" s="57"/>
      <x:c r="T87" s="57"/>
      <x:c r="U87" s="57"/>
      <x:c r="V87" s="57"/>
      <x:c r="W87" s="57"/>
      <x:c r="X87" s="57"/>
      <x:c r="Y87" s="57"/>
      <x:c r="Z87" s="57"/>
    </x:row>
    <x:row r="88">
      <x:c r="A88" s="57"/>
      <x:c r="B88" s="57"/>
      <x:c r="C88" s="57"/>
      <x:c r="D88" s="57"/>
      <x:c r="E88" s="57"/>
      <x:c r="F88" s="57"/>
      <x:c r="G88" s="57"/>
      <x:c r="H88" s="57"/>
      <x:c r="I88" s="57"/>
      <x:c r="J88" s="57"/>
      <x:c r="K88" s="57"/>
      <x:c r="L88" s="57"/>
      <x:c r="M88" s="57"/>
      <x:c r="N88" s="57"/>
      <x:c r="O88" s="57"/>
      <x:c r="P88" s="57"/>
      <x:c r="Q88" s="57"/>
      <x:c r="R88" s="57"/>
      <x:c r="S88" s="57"/>
      <x:c r="T88" s="57"/>
      <x:c r="U88" s="57"/>
      <x:c r="V88" s="57"/>
      <x:c r="W88" s="57"/>
      <x:c r="X88" s="57"/>
      <x:c r="Y88" s="57"/>
      <x:c r="Z88" s="57"/>
    </x:row>
    <x:row r="89">
      <x:c r="A89" s="57"/>
      <x:c r="B89" s="57"/>
      <x:c r="C89" s="57"/>
      <x:c r="D89" s="57"/>
      <x:c r="E89" s="57"/>
      <x:c r="F89" s="57"/>
      <x:c r="G89" s="57"/>
      <x:c r="H89" s="57"/>
      <x:c r="I89" s="57"/>
      <x:c r="J89" s="57"/>
      <x:c r="K89" s="57"/>
      <x:c r="L89" s="57"/>
      <x:c r="M89" s="57"/>
      <x:c r="N89" s="57"/>
      <x:c r="O89" s="57"/>
      <x:c r="P89" s="57"/>
      <x:c r="Q89" s="57"/>
      <x:c r="R89" s="57"/>
      <x:c r="S89" s="57"/>
      <x:c r="T89" s="57"/>
      <x:c r="U89" s="57"/>
      <x:c r="V89" s="57"/>
      <x:c r="W89" s="57"/>
      <x:c r="X89" s="57"/>
      <x:c r="Y89" s="57"/>
      <x:c r="Z89" s="57"/>
    </x:row>
    <x:row r="90">
      <x:c r="A90" s="57"/>
      <x:c r="B90" s="57"/>
      <x:c r="C90" s="57"/>
      <x:c r="D90" s="57"/>
      <x:c r="E90" s="57"/>
      <x:c r="F90" s="57"/>
      <x:c r="G90" s="57"/>
      <x:c r="H90" s="57"/>
      <x:c r="I90" s="57"/>
      <x:c r="J90" s="57"/>
      <x:c r="K90" s="57"/>
      <x:c r="L90" s="57"/>
      <x:c r="M90" s="57"/>
      <x:c r="N90" s="57"/>
      <x:c r="O90" s="57"/>
      <x:c r="P90" s="57"/>
      <x:c r="Q90" s="57"/>
      <x:c r="R90" s="57"/>
      <x:c r="S90" s="57"/>
      <x:c r="T90" s="57"/>
      <x:c r="U90" s="57"/>
      <x:c r="V90" s="57"/>
      <x:c r="W90" s="57"/>
      <x:c r="X90" s="57"/>
      <x:c r="Y90" s="57"/>
      <x:c r="Z90" s="57"/>
    </x:row>
    <x:row r="91">
      <x:c r="A91" s="57"/>
      <x:c r="B91" s="57"/>
      <x:c r="C91" s="57"/>
      <x:c r="D91" s="57"/>
      <x:c r="E91" s="57"/>
      <x:c r="F91" s="57"/>
      <x:c r="G91" s="57"/>
      <x:c r="H91" s="57"/>
      <x:c r="I91" s="57"/>
      <x:c r="J91" s="57"/>
      <x:c r="K91" s="57"/>
      <x:c r="L91" s="57"/>
      <x:c r="M91" s="57"/>
      <x:c r="N91" s="57"/>
      <x:c r="O91" s="57"/>
      <x:c r="P91" s="57"/>
      <x:c r="Q91" s="57"/>
      <x:c r="R91" s="57"/>
      <x:c r="S91" s="57"/>
      <x:c r="T91" s="57"/>
      <x:c r="U91" s="57"/>
      <x:c r="V91" s="57"/>
      <x:c r="W91" s="57"/>
      <x:c r="X91" s="57"/>
      <x:c r="Y91" s="57"/>
      <x:c r="Z91" s="57"/>
    </x:row>
    <x:row r="92">
      <x:c r="A92" s="57"/>
      <x:c r="B92" s="57"/>
      <x:c r="C92" s="57"/>
      <x:c r="D92" s="57"/>
      <x:c r="E92" s="57"/>
      <x:c r="F92" s="57"/>
      <x:c r="G92" s="57"/>
      <x:c r="H92" s="57"/>
      <x:c r="I92" s="57"/>
      <x:c r="J92" s="57"/>
      <x:c r="K92" s="57"/>
      <x:c r="L92" s="57"/>
      <x:c r="M92" s="57"/>
      <x:c r="N92" s="57"/>
      <x:c r="O92" s="57"/>
      <x:c r="P92" s="57"/>
      <x:c r="Q92" s="57"/>
      <x:c r="R92" s="57"/>
      <x:c r="S92" s="57"/>
      <x:c r="T92" s="57"/>
      <x:c r="U92" s="57"/>
      <x:c r="V92" s="57"/>
      <x:c r="W92" s="57"/>
      <x:c r="X92" s="57"/>
      <x:c r="Y92" s="57"/>
      <x:c r="Z92" s="57"/>
    </x:row>
    <x:row r="93">
      <x:c r="A93" s="57"/>
      <x:c r="B93" s="57"/>
      <x:c r="C93" s="57"/>
      <x:c r="D93" s="57"/>
      <x:c r="E93" s="57"/>
      <x:c r="F93" s="57"/>
      <x:c r="G93" s="57"/>
      <x:c r="H93" s="57"/>
      <x:c r="I93" s="57"/>
      <x:c r="J93" s="57"/>
      <x:c r="K93" s="57"/>
      <x:c r="L93" s="57"/>
      <x:c r="M93" s="57"/>
      <x:c r="N93" s="57"/>
      <x:c r="O93" s="57"/>
      <x:c r="P93" s="57"/>
      <x:c r="Q93" s="57"/>
      <x:c r="R93" s="57"/>
      <x:c r="S93" s="57"/>
      <x:c r="T93" s="57"/>
      <x:c r="U93" s="57"/>
      <x:c r="V93" s="57"/>
      <x:c r="W93" s="57"/>
      <x:c r="X93" s="57"/>
      <x:c r="Y93" s="57"/>
      <x:c r="Z93" s="57"/>
    </x:row>
    <x:row r="94">
      <x:c r="A94" s="57"/>
      <x:c r="B94" s="57"/>
      <x:c r="C94" s="57"/>
      <x:c r="D94" s="57"/>
      <x:c r="E94" s="57"/>
      <x:c r="F94" s="57"/>
      <x:c r="G94" s="57"/>
      <x:c r="H94" s="57"/>
      <x:c r="I94" s="57"/>
      <x:c r="J94" s="57"/>
      <x:c r="K94" s="57"/>
      <x:c r="L94" s="57"/>
      <x:c r="M94" s="57"/>
      <x:c r="N94" s="57"/>
      <x:c r="O94" s="57"/>
      <x:c r="P94" s="57"/>
      <x:c r="Q94" s="57"/>
      <x:c r="R94" s="57"/>
      <x:c r="S94" s="57"/>
      <x:c r="T94" s="57"/>
      <x:c r="U94" s="57"/>
      <x:c r="V94" s="57"/>
      <x:c r="W94" s="57"/>
      <x:c r="X94" s="57"/>
      <x:c r="Y94" s="57"/>
      <x:c r="Z94" s="57"/>
    </x:row>
    <x:row r="95">
      <x:c r="A95" s="57"/>
      <x:c r="B95" s="57"/>
      <x:c r="C95" s="57"/>
      <x:c r="D95" s="57"/>
      <x:c r="E95" s="57"/>
      <x:c r="F95" s="57"/>
      <x:c r="G95" s="57"/>
      <x:c r="H95" s="57"/>
      <x:c r="I95" s="57"/>
      <x:c r="J95" s="57"/>
      <x:c r="K95" s="57"/>
      <x:c r="L95" s="57"/>
      <x:c r="M95" s="57"/>
      <x:c r="N95" s="57"/>
      <x:c r="O95" s="57"/>
      <x:c r="P95" s="57"/>
      <x:c r="Q95" s="57"/>
      <x:c r="R95" s="57"/>
      <x:c r="S95" s="57"/>
      <x:c r="T95" s="57"/>
      <x:c r="U95" s="57"/>
      <x:c r="V95" s="57"/>
      <x:c r="W95" s="57"/>
      <x:c r="X95" s="57"/>
      <x:c r="Y95" s="57"/>
      <x:c r="Z95" s="57"/>
    </x:row>
    <x:row r="96">
      <x:c r="A96" s="57"/>
      <x:c r="B96" s="57"/>
      <x:c r="C96" s="57"/>
      <x:c r="D96" s="57"/>
      <x:c r="E96" s="57"/>
      <x:c r="F96" s="57"/>
      <x:c r="G96" s="57"/>
      <x:c r="H96" s="57"/>
      <x:c r="I96" s="57"/>
      <x:c r="J96" s="57"/>
      <x:c r="K96" s="57"/>
      <x:c r="L96" s="57"/>
      <x:c r="M96" s="57"/>
      <x:c r="N96" s="57"/>
      <x:c r="O96" s="57"/>
      <x:c r="P96" s="57"/>
      <x:c r="Q96" s="57"/>
      <x:c r="R96" s="57"/>
      <x:c r="S96" s="57"/>
      <x:c r="T96" s="57"/>
      <x:c r="U96" s="57"/>
      <x:c r="V96" s="57"/>
      <x:c r="W96" s="57"/>
      <x:c r="X96" s="57"/>
      <x:c r="Y96" s="57"/>
      <x:c r="Z96" s="57"/>
    </x:row>
    <x:row r="97">
      <x:c r="A97" s="57"/>
      <x:c r="B97" s="57"/>
      <x:c r="C97" s="57"/>
      <x:c r="D97" s="57"/>
      <x:c r="E97" s="57"/>
      <x:c r="F97" s="57"/>
      <x:c r="G97" s="57"/>
      <x:c r="H97" s="57"/>
      <x:c r="I97" s="57"/>
      <x:c r="J97" s="57"/>
      <x:c r="K97" s="57"/>
      <x:c r="L97" s="57"/>
      <x:c r="M97" s="57"/>
      <x:c r="N97" s="57"/>
      <x:c r="O97" s="57"/>
      <x:c r="P97" s="57"/>
      <x:c r="Q97" s="57"/>
      <x:c r="R97" s="57"/>
      <x:c r="S97" s="57"/>
      <x:c r="T97" s="57"/>
      <x:c r="U97" s="57"/>
      <x:c r="V97" s="57"/>
      <x:c r="W97" s="57"/>
      <x:c r="X97" s="57"/>
      <x:c r="Y97" s="57"/>
      <x:c r="Z97" s="57"/>
    </x:row>
    <x:row r="98">
      <x:c r="A98" s="57"/>
      <x:c r="B98" s="57"/>
      <x:c r="C98" s="57"/>
      <x:c r="D98" s="57"/>
      <x:c r="E98" s="57"/>
      <x:c r="F98" s="57"/>
      <x:c r="G98" s="57"/>
      <x:c r="H98" s="57"/>
      <x:c r="I98" s="57"/>
      <x:c r="J98" s="57"/>
      <x:c r="K98" s="57"/>
      <x:c r="L98" s="57"/>
      <x:c r="M98" s="57"/>
      <x:c r="N98" s="57"/>
      <x:c r="O98" s="57"/>
      <x:c r="P98" s="57"/>
      <x:c r="Q98" s="57"/>
      <x:c r="R98" s="57"/>
      <x:c r="S98" s="57"/>
      <x:c r="T98" s="57"/>
      <x:c r="U98" s="57"/>
      <x:c r="V98" s="57"/>
      <x:c r="W98" s="57"/>
      <x:c r="X98" s="57"/>
      <x:c r="Y98" s="57"/>
      <x:c r="Z98" s="57"/>
    </x:row>
    <x:row r="99">
      <x:c r="A99" s="57"/>
      <x:c r="B99" s="57"/>
      <x:c r="C99" s="57"/>
      <x:c r="D99" s="57"/>
      <x:c r="E99" s="57"/>
      <x:c r="F99" s="57"/>
      <x:c r="G99" s="57"/>
      <x:c r="H99" s="57"/>
      <x:c r="I99" s="57"/>
      <x:c r="J99" s="57"/>
      <x:c r="K99" s="57"/>
      <x:c r="L99" s="57"/>
      <x:c r="M99" s="57"/>
      <x:c r="N99" s="57"/>
      <x:c r="O99" s="57"/>
      <x:c r="P99" s="57"/>
      <x:c r="Q99" s="57"/>
      <x:c r="R99" s="57"/>
      <x:c r="S99" s="57"/>
      <x:c r="T99" s="57"/>
      <x:c r="U99" s="57"/>
      <x:c r="V99" s="57"/>
      <x:c r="W99" s="57"/>
      <x:c r="X99" s="57"/>
      <x:c r="Y99" s="57"/>
      <x:c r="Z99" s="57"/>
    </x:row>
    <x:row r="100">
      <x:c r="A100" s="57"/>
      <x:c r="B100" s="57"/>
      <x:c r="C100" s="57"/>
      <x:c r="D100" s="57"/>
      <x:c r="E100" s="57"/>
      <x:c r="F100" s="57"/>
      <x:c r="G100" s="57"/>
      <x:c r="H100" s="57"/>
      <x:c r="I100" s="57"/>
      <x:c r="J100" s="57"/>
      <x:c r="K100" s="57"/>
      <x:c r="L100" s="57"/>
      <x:c r="M100" s="57"/>
      <x:c r="N100" s="57"/>
      <x:c r="O100" s="57"/>
      <x:c r="P100" s="57"/>
      <x:c r="Q100" s="57"/>
      <x:c r="R100" s="57"/>
      <x:c r="S100" s="57"/>
      <x:c r="T100" s="57"/>
      <x:c r="U100" s="57"/>
      <x:c r="V100" s="57"/>
      <x:c r="W100" s="57"/>
      <x:c r="X100" s="57"/>
      <x:c r="Y100" s="57"/>
      <x:c r="Z100" s="57"/>
    </x:row>
    <x:row r="101">
      <x:c r="A101" s="57"/>
      <x:c r="B101" s="57"/>
      <x:c r="C101" s="57"/>
      <x:c r="D101" s="57"/>
      <x:c r="E101" s="57"/>
      <x:c r="F101" s="57"/>
      <x:c r="G101" s="57"/>
      <x:c r="H101" s="57"/>
      <x:c r="I101" s="57"/>
      <x:c r="J101" s="57"/>
      <x:c r="K101" s="57"/>
      <x:c r="L101" s="57"/>
      <x:c r="M101" s="57"/>
      <x:c r="N101" s="57"/>
      <x:c r="O101" s="57"/>
      <x:c r="P101" s="57"/>
      <x:c r="Q101" s="57"/>
      <x:c r="R101" s="57"/>
      <x:c r="S101" s="57"/>
      <x:c r="T101" s="57"/>
      <x:c r="U101" s="57"/>
      <x:c r="V101" s="57"/>
      <x:c r="W101" s="57"/>
      <x:c r="X101" s="57"/>
      <x:c r="Y101" s="57"/>
      <x:c r="Z101" s="57"/>
    </x:row>
    <x:row r="102">
      <x:c r="A102" s="57"/>
      <x:c r="B102" s="57"/>
      <x:c r="C102" s="57"/>
      <x:c r="D102" s="57"/>
      <x:c r="E102" s="57"/>
      <x:c r="F102" s="57"/>
      <x:c r="G102" s="57"/>
      <x:c r="H102" s="57"/>
      <x:c r="I102" s="57"/>
      <x:c r="J102" s="57"/>
      <x:c r="K102" s="57"/>
      <x:c r="L102" s="57"/>
      <x:c r="M102" s="57"/>
      <x:c r="N102" s="57"/>
      <x:c r="O102" s="57"/>
      <x:c r="P102" s="57"/>
      <x:c r="Q102" s="57"/>
      <x:c r="R102" s="57"/>
      <x:c r="S102" s="57"/>
      <x:c r="T102" s="57"/>
      <x:c r="U102" s="57"/>
      <x:c r="V102" s="57"/>
      <x:c r="W102" s="57"/>
      <x:c r="X102" s="57"/>
      <x:c r="Y102" s="57"/>
      <x:c r="Z102" s="57"/>
    </x:row>
    <x:row r="103">
      <x:c r="A103" s="57"/>
      <x:c r="B103" s="57"/>
      <x:c r="C103" s="57"/>
      <x:c r="D103" s="57"/>
      <x:c r="E103" s="57"/>
      <x:c r="F103" s="57"/>
      <x:c r="G103" s="57"/>
      <x:c r="H103" s="57"/>
      <x:c r="I103" s="57"/>
      <x:c r="J103" s="57"/>
      <x:c r="K103" s="57"/>
      <x:c r="L103" s="57"/>
      <x:c r="M103" s="57"/>
      <x:c r="N103" s="57"/>
      <x:c r="O103" s="57"/>
      <x:c r="P103" s="57"/>
      <x:c r="Q103" s="57"/>
      <x:c r="R103" s="57"/>
      <x:c r="S103" s="57"/>
      <x:c r="T103" s="57"/>
      <x:c r="U103" s="57"/>
      <x:c r="V103" s="57"/>
      <x:c r="W103" s="57"/>
      <x:c r="X103" s="57"/>
      <x:c r="Y103" s="57"/>
      <x:c r="Z103" s="57"/>
    </x:row>
    <x:row r="104">
      <x:c r="A104" s="57"/>
      <x:c r="B104" s="57"/>
      <x:c r="C104" s="57"/>
      <x:c r="D104" s="57"/>
      <x:c r="E104" s="57"/>
      <x:c r="F104" s="57"/>
      <x:c r="G104" s="57"/>
      <x:c r="H104" s="57"/>
      <x:c r="I104" s="57"/>
      <x:c r="J104" s="57"/>
      <x:c r="K104" s="57"/>
      <x:c r="L104" s="57"/>
      <x:c r="M104" s="57"/>
      <x:c r="N104" s="57"/>
      <x:c r="O104" s="57"/>
      <x:c r="P104" s="57"/>
      <x:c r="Q104" s="57"/>
      <x:c r="R104" s="57"/>
      <x:c r="S104" s="57"/>
      <x:c r="T104" s="57"/>
      <x:c r="U104" s="57"/>
      <x:c r="V104" s="57"/>
      <x:c r="W104" s="57"/>
      <x:c r="X104" s="57"/>
      <x:c r="Y104" s="57"/>
      <x:c r="Z104" s="57"/>
    </x:row>
    <x:row r="105">
      <x:c r="A105" s="57"/>
      <x:c r="B105" s="57"/>
      <x:c r="C105" s="57"/>
      <x:c r="D105" s="57"/>
      <x:c r="E105" s="57"/>
      <x:c r="F105" s="57"/>
      <x:c r="G105" s="57"/>
      <x:c r="H105" s="57"/>
      <x:c r="I105" s="57"/>
      <x:c r="J105" s="57"/>
      <x:c r="K105" s="57"/>
      <x:c r="L105" s="57"/>
      <x:c r="M105" s="57"/>
      <x:c r="N105" s="57"/>
      <x:c r="O105" s="57"/>
      <x:c r="P105" s="57"/>
      <x:c r="Q105" s="57"/>
      <x:c r="R105" s="57"/>
      <x:c r="S105" s="57"/>
      <x:c r="T105" s="57"/>
      <x:c r="U105" s="57"/>
      <x:c r="V105" s="57"/>
      <x:c r="W105" s="57"/>
      <x:c r="X105" s="57"/>
      <x:c r="Y105" s="57"/>
      <x:c r="Z105" s="57"/>
    </x:row>
    <x:row r="106">
      <x:c r="A106" s="57"/>
      <x:c r="B106" s="57"/>
      <x:c r="C106" s="57"/>
      <x:c r="D106" s="57"/>
      <x:c r="E106" s="57"/>
      <x:c r="F106" s="57"/>
      <x:c r="G106" s="57"/>
      <x:c r="H106" s="57"/>
      <x:c r="I106" s="57"/>
      <x:c r="J106" s="57"/>
      <x:c r="K106" s="57"/>
      <x:c r="L106" s="57"/>
      <x:c r="M106" s="57"/>
      <x:c r="N106" s="57"/>
      <x:c r="O106" s="57"/>
      <x:c r="P106" s="57"/>
      <x:c r="Q106" s="57"/>
      <x:c r="R106" s="57"/>
      <x:c r="S106" s="57"/>
      <x:c r="T106" s="57"/>
      <x:c r="U106" s="57"/>
      <x:c r="V106" s="57"/>
      <x:c r="W106" s="57"/>
      <x:c r="X106" s="57"/>
      <x:c r="Y106" s="57"/>
      <x:c r="Z106" s="57"/>
    </x:row>
    <x:row r="107">
      <x:c r="A107" s="57"/>
      <x:c r="B107" s="57"/>
      <x:c r="C107" s="57"/>
      <x:c r="D107" s="57"/>
      <x:c r="E107" s="57"/>
      <x:c r="F107" s="57"/>
      <x:c r="G107" s="57"/>
      <x:c r="H107" s="57"/>
      <x:c r="I107" s="57"/>
      <x:c r="J107" s="57"/>
      <x:c r="K107" s="57"/>
      <x:c r="L107" s="57"/>
      <x:c r="M107" s="57"/>
      <x:c r="N107" s="57"/>
      <x:c r="O107" s="57"/>
      <x:c r="P107" s="57"/>
      <x:c r="Q107" s="57"/>
      <x:c r="R107" s="57"/>
      <x:c r="S107" s="57"/>
      <x:c r="T107" s="57"/>
      <x:c r="U107" s="57"/>
      <x:c r="V107" s="57"/>
      <x:c r="W107" s="57"/>
      <x:c r="X107" s="57"/>
      <x:c r="Y107" s="57"/>
      <x:c r="Z107" s="57"/>
    </x:row>
    <x:row r="108">
      <x:c r="A108" s="57"/>
      <x:c r="B108" s="57"/>
      <x:c r="C108" s="57"/>
      <x:c r="D108" s="57"/>
      <x:c r="E108" s="57"/>
      <x:c r="F108" s="57"/>
      <x:c r="G108" s="57"/>
      <x:c r="H108" s="57"/>
      <x:c r="I108" s="57"/>
      <x:c r="J108" s="57"/>
      <x:c r="K108" s="57"/>
      <x:c r="L108" s="57"/>
      <x:c r="M108" s="57"/>
      <x:c r="N108" s="57"/>
      <x:c r="O108" s="57"/>
      <x:c r="P108" s="57"/>
      <x:c r="Q108" s="57"/>
      <x:c r="R108" s="57"/>
      <x:c r="S108" s="57"/>
      <x:c r="T108" s="57"/>
      <x:c r="U108" s="57"/>
      <x:c r="V108" s="57"/>
      <x:c r="W108" s="57"/>
      <x:c r="X108" s="57"/>
      <x:c r="Y108" s="57"/>
      <x:c r="Z108" s="57"/>
    </x:row>
    <x:row r="109">
      <x:c r="A109" s="57"/>
      <x:c r="B109" s="57"/>
      <x:c r="C109" s="57"/>
      <x:c r="D109" s="57"/>
      <x:c r="E109" s="57"/>
      <x:c r="F109" s="57"/>
      <x:c r="G109" s="57"/>
      <x:c r="H109" s="57"/>
      <x:c r="I109" s="57"/>
      <x:c r="J109" s="57"/>
      <x:c r="K109" s="57"/>
      <x:c r="L109" s="57"/>
      <x:c r="M109" s="57"/>
      <x:c r="N109" s="57"/>
      <x:c r="O109" s="57"/>
      <x:c r="P109" s="57"/>
      <x:c r="Q109" s="57"/>
      <x:c r="R109" s="57"/>
      <x:c r="S109" s="57"/>
      <x:c r="T109" s="57"/>
      <x:c r="U109" s="57"/>
      <x:c r="V109" s="57"/>
      <x:c r="W109" s="57"/>
      <x:c r="X109" s="57"/>
      <x:c r="Y109" s="57"/>
      <x:c r="Z109" s="57"/>
    </x:row>
    <x:row r="110">
      <x:c r="A110" s="57"/>
      <x:c r="B110" s="57"/>
      <x:c r="C110" s="57"/>
      <x:c r="D110" s="57"/>
      <x:c r="E110" s="57"/>
      <x:c r="F110" s="57"/>
      <x:c r="G110" s="57"/>
      <x:c r="H110" s="57"/>
      <x:c r="I110" s="57"/>
      <x:c r="J110" s="57"/>
      <x:c r="K110" s="57"/>
      <x:c r="L110" s="57"/>
      <x:c r="M110" s="57"/>
      <x:c r="N110" s="57"/>
      <x:c r="O110" s="57"/>
      <x:c r="P110" s="57"/>
      <x:c r="Q110" s="57"/>
      <x:c r="R110" s="57"/>
      <x:c r="S110" s="57"/>
      <x:c r="T110" s="57"/>
      <x:c r="U110" s="57"/>
      <x:c r="V110" s="57"/>
      <x:c r="W110" s="57"/>
      <x:c r="X110" s="57"/>
      <x:c r="Y110" s="57"/>
      <x:c r="Z110" s="57"/>
    </x:row>
    <x:row r="111">
      <x:c r="A111" s="57"/>
      <x:c r="B111" s="57"/>
      <x:c r="C111" s="57"/>
      <x:c r="D111" s="57"/>
      <x:c r="E111" s="57"/>
      <x:c r="F111" s="57"/>
      <x:c r="G111" s="57"/>
      <x:c r="H111" s="57"/>
      <x:c r="I111" s="57"/>
      <x:c r="J111" s="57"/>
      <x:c r="K111" s="57"/>
      <x:c r="L111" s="57"/>
      <x:c r="M111" s="57"/>
      <x:c r="N111" s="57"/>
      <x:c r="O111" s="57"/>
      <x:c r="P111" s="57"/>
      <x:c r="Q111" s="57"/>
      <x:c r="R111" s="57"/>
      <x:c r="S111" s="57"/>
      <x:c r="T111" s="57"/>
      <x:c r="U111" s="57"/>
      <x:c r="V111" s="57"/>
      <x:c r="W111" s="57"/>
      <x:c r="X111" s="57"/>
      <x:c r="Y111" s="57"/>
      <x:c r="Z111" s="57"/>
    </x:row>
    <x:row r="112">
      <x:c r="A112" s="57"/>
      <x:c r="B112" s="57"/>
      <x:c r="C112" s="57"/>
      <x:c r="D112" s="57"/>
      <x:c r="E112" s="57"/>
      <x:c r="F112" s="57"/>
      <x:c r="G112" s="57"/>
      <x:c r="H112" s="57"/>
      <x:c r="I112" s="57"/>
      <x:c r="J112" s="57"/>
      <x:c r="K112" s="57"/>
      <x:c r="L112" s="57"/>
      <x:c r="M112" s="57"/>
      <x:c r="N112" s="57"/>
      <x:c r="O112" s="57"/>
      <x:c r="P112" s="57"/>
      <x:c r="Q112" s="57"/>
      <x:c r="R112" s="57"/>
      <x:c r="S112" s="57"/>
      <x:c r="T112" s="57"/>
      <x:c r="U112" s="57"/>
      <x:c r="V112" s="57"/>
      <x:c r="W112" s="57"/>
      <x:c r="X112" s="57"/>
      <x:c r="Y112" s="57"/>
      <x:c r="Z112" s="57"/>
    </x:row>
    <x:row r="113">
      <x:c r="A113" s="57"/>
      <x:c r="B113" s="57"/>
      <x:c r="C113" s="57"/>
      <x:c r="D113" s="57"/>
      <x:c r="E113" s="57"/>
      <x:c r="F113" s="57"/>
      <x:c r="G113" s="57"/>
      <x:c r="H113" s="57"/>
      <x:c r="I113" s="57"/>
      <x:c r="J113" s="57"/>
      <x:c r="K113" s="57"/>
      <x:c r="L113" s="57"/>
      <x:c r="M113" s="57"/>
      <x:c r="N113" s="57"/>
      <x:c r="O113" s="57"/>
      <x:c r="P113" s="57"/>
      <x:c r="Q113" s="57"/>
      <x:c r="R113" s="57"/>
      <x:c r="S113" s="57"/>
      <x:c r="T113" s="57"/>
      <x:c r="U113" s="57"/>
      <x:c r="V113" s="57"/>
      <x:c r="W113" s="57"/>
      <x:c r="X113" s="57"/>
      <x:c r="Y113" s="57"/>
      <x:c r="Z113" s="57"/>
    </x:row>
    <x:row r="114">
      <x:c r="A114" s="57"/>
      <x:c r="B114" s="57"/>
      <x:c r="C114" s="57"/>
      <x:c r="D114" s="57"/>
      <x:c r="E114" s="57"/>
      <x:c r="F114" s="57"/>
      <x:c r="G114" s="57"/>
      <x:c r="H114" s="57"/>
      <x:c r="I114" s="57"/>
      <x:c r="J114" s="57"/>
      <x:c r="K114" s="57"/>
      <x:c r="L114" s="57"/>
      <x:c r="M114" s="57"/>
      <x:c r="N114" s="57"/>
      <x:c r="O114" s="57"/>
      <x:c r="P114" s="57"/>
      <x:c r="Q114" s="57"/>
      <x:c r="R114" s="57"/>
      <x:c r="S114" s="57"/>
      <x:c r="T114" s="57"/>
      <x:c r="U114" s="57"/>
      <x:c r="V114" s="57"/>
      <x:c r="W114" s="57"/>
      <x:c r="X114" s="57"/>
      <x:c r="Y114" s="57"/>
      <x:c r="Z114" s="57"/>
    </x:row>
    <x:row r="115">
      <x:c r="A115" s="57"/>
      <x:c r="B115" s="57"/>
      <x:c r="C115" s="57"/>
      <x:c r="D115" s="57"/>
      <x:c r="E115" s="57"/>
      <x:c r="F115" s="57"/>
      <x:c r="G115" s="57"/>
      <x:c r="H115" s="57"/>
      <x:c r="I115" s="57"/>
      <x:c r="J115" s="57"/>
      <x:c r="K115" s="57"/>
      <x:c r="L115" s="57"/>
      <x:c r="M115" s="57"/>
      <x:c r="N115" s="57"/>
      <x:c r="O115" s="57"/>
      <x:c r="P115" s="57"/>
      <x:c r="Q115" s="57"/>
      <x:c r="R115" s="57"/>
      <x:c r="S115" s="57"/>
      <x:c r="T115" s="57"/>
      <x:c r="U115" s="57"/>
      <x:c r="V115" s="57"/>
      <x:c r="W115" s="57"/>
      <x:c r="X115" s="57"/>
      <x:c r="Y115" s="57"/>
      <x:c r="Z115" s="57"/>
    </x:row>
    <x:row r="116">
      <x:c r="A116" s="57"/>
      <x:c r="B116" s="57"/>
      <x:c r="C116" s="57"/>
      <x:c r="D116" s="57"/>
      <x:c r="E116" s="57"/>
      <x:c r="F116" s="57"/>
      <x:c r="G116" s="57"/>
      <x:c r="H116" s="57"/>
      <x:c r="I116" s="57"/>
      <x:c r="J116" s="57"/>
      <x:c r="K116" s="57"/>
      <x:c r="L116" s="57"/>
      <x:c r="M116" s="57"/>
      <x:c r="N116" s="57"/>
      <x:c r="O116" s="57"/>
      <x:c r="P116" s="57"/>
      <x:c r="Q116" s="57"/>
      <x:c r="R116" s="57"/>
      <x:c r="S116" s="57"/>
      <x:c r="T116" s="57"/>
      <x:c r="U116" s="57"/>
      <x:c r="V116" s="57"/>
      <x:c r="W116" s="57"/>
      <x:c r="X116" s="57"/>
      <x:c r="Y116" s="57"/>
      <x:c r="Z116" s="57"/>
    </x:row>
    <x:row r="117">
      <x:c r="A117" s="57"/>
      <x:c r="B117" s="57"/>
      <x:c r="C117" s="57"/>
      <x:c r="D117" s="57"/>
      <x:c r="E117" s="57"/>
      <x:c r="F117" s="57"/>
      <x:c r="G117" s="57"/>
      <x:c r="H117" s="57"/>
      <x:c r="I117" s="57"/>
      <x:c r="J117" s="57"/>
      <x:c r="K117" s="57"/>
      <x:c r="L117" s="57"/>
      <x:c r="M117" s="57"/>
      <x:c r="N117" s="57"/>
      <x:c r="O117" s="57"/>
      <x:c r="P117" s="57"/>
      <x:c r="Q117" s="57"/>
      <x:c r="R117" s="57"/>
      <x:c r="S117" s="57"/>
      <x:c r="T117" s="57"/>
      <x:c r="U117" s="57"/>
      <x:c r="V117" s="57"/>
      <x:c r="W117" s="57"/>
      <x:c r="X117" s="57"/>
      <x:c r="Y117" s="57"/>
      <x:c r="Z117" s="57"/>
    </x:row>
    <x:row r="118">
      <x:c r="A118" s="57"/>
      <x:c r="B118" s="57"/>
      <x:c r="C118" s="57"/>
      <x:c r="D118" s="57"/>
      <x:c r="E118" s="57"/>
      <x:c r="F118" s="57"/>
      <x:c r="G118" s="57"/>
      <x:c r="H118" s="57"/>
      <x:c r="I118" s="57"/>
      <x:c r="J118" s="57"/>
      <x:c r="K118" s="57"/>
      <x:c r="L118" s="57"/>
      <x:c r="M118" s="57"/>
      <x:c r="N118" s="57"/>
      <x:c r="O118" s="57"/>
      <x:c r="P118" s="57"/>
      <x:c r="Q118" s="57"/>
      <x:c r="R118" s="57"/>
      <x:c r="S118" s="57"/>
      <x:c r="T118" s="57"/>
      <x:c r="U118" s="57"/>
      <x:c r="V118" s="57"/>
      <x:c r="W118" s="57"/>
      <x:c r="X118" s="57"/>
      <x:c r="Y118" s="57"/>
      <x:c r="Z118" s="57"/>
    </x:row>
    <x:row r="119">
      <x:c r="A119" s="57"/>
      <x:c r="B119" s="57"/>
      <x:c r="C119" s="57"/>
      <x:c r="D119" s="57"/>
      <x:c r="E119" s="57"/>
      <x:c r="F119" s="57"/>
      <x:c r="G119" s="57"/>
      <x:c r="H119" s="57"/>
      <x:c r="I119" s="57"/>
      <x:c r="J119" s="57"/>
      <x:c r="K119" s="57"/>
      <x:c r="L119" s="57"/>
      <x:c r="M119" s="57"/>
      <x:c r="N119" s="57"/>
      <x:c r="O119" s="57"/>
      <x:c r="P119" s="57"/>
      <x:c r="Q119" s="57"/>
      <x:c r="R119" s="57"/>
      <x:c r="S119" s="57"/>
      <x:c r="T119" s="57"/>
      <x:c r="U119" s="57"/>
      <x:c r="V119" s="57"/>
      <x:c r="W119" s="57"/>
      <x:c r="X119" s="57"/>
      <x:c r="Y119" s="57"/>
      <x:c r="Z119" s="57"/>
    </x:row>
    <x:row r="120">
      <x:c r="A120" s="57"/>
      <x:c r="B120" s="57"/>
      <x:c r="C120" s="57"/>
      <x:c r="D120" s="57"/>
      <x:c r="E120" s="57"/>
      <x:c r="F120" s="57"/>
      <x:c r="G120" s="57"/>
      <x:c r="H120" s="57"/>
      <x:c r="I120" s="57"/>
      <x:c r="J120" s="57"/>
      <x:c r="K120" s="57"/>
      <x:c r="L120" s="57"/>
      <x:c r="M120" s="57"/>
      <x:c r="N120" s="57"/>
      <x:c r="O120" s="57"/>
      <x:c r="P120" s="57"/>
      <x:c r="Q120" s="57"/>
      <x:c r="R120" s="57"/>
      <x:c r="S120" s="57"/>
      <x:c r="T120" s="57"/>
      <x:c r="U120" s="57"/>
      <x:c r="V120" s="57"/>
      <x:c r="W120" s="57"/>
      <x:c r="X120" s="57"/>
      <x:c r="Y120" s="57"/>
      <x:c r="Z120" s="57"/>
    </x:row>
    <x:row r="121">
      <x:c r="A121" s="57"/>
      <x:c r="B121" s="57"/>
      <x:c r="C121" s="57"/>
      <x:c r="D121" s="57"/>
      <x:c r="E121" s="57"/>
      <x:c r="F121" s="57"/>
      <x:c r="G121" s="57"/>
      <x:c r="H121" s="57"/>
      <x:c r="I121" s="57"/>
      <x:c r="J121" s="57"/>
      <x:c r="K121" s="57"/>
      <x:c r="L121" s="57"/>
      <x:c r="M121" s="57"/>
      <x:c r="N121" s="57"/>
      <x:c r="O121" s="57"/>
      <x:c r="P121" s="57"/>
      <x:c r="Q121" s="57"/>
      <x:c r="R121" s="57"/>
      <x:c r="S121" s="57"/>
      <x:c r="T121" s="57"/>
      <x:c r="U121" s="57"/>
      <x:c r="V121" s="57"/>
      <x:c r="W121" s="57"/>
      <x:c r="X121" s="57"/>
      <x:c r="Y121" s="57"/>
      <x:c r="Z121" s="57"/>
    </x:row>
    <x:row r="122">
      <x:c r="A122" s="57"/>
      <x:c r="B122" s="57"/>
      <x:c r="C122" s="57"/>
      <x:c r="D122" s="57"/>
      <x:c r="E122" s="57"/>
      <x:c r="F122" s="57"/>
      <x:c r="G122" s="57"/>
      <x:c r="H122" s="57"/>
      <x:c r="I122" s="57"/>
      <x:c r="J122" s="57"/>
      <x:c r="K122" s="57"/>
      <x:c r="L122" s="57"/>
      <x:c r="M122" s="57"/>
      <x:c r="N122" s="57"/>
      <x:c r="O122" s="57"/>
      <x:c r="P122" s="57"/>
      <x:c r="Q122" s="57"/>
      <x:c r="R122" s="57"/>
      <x:c r="S122" s="57"/>
      <x:c r="T122" s="57"/>
      <x:c r="U122" s="57"/>
      <x:c r="V122" s="57"/>
      <x:c r="W122" s="57"/>
      <x:c r="X122" s="57"/>
      <x:c r="Y122" s="57"/>
      <x:c r="Z122" s="57"/>
    </x:row>
    <x:row r="123">
      <x:c r="A123" s="57"/>
      <x:c r="B123" s="57"/>
      <x:c r="C123" s="57"/>
      <x:c r="D123" s="57"/>
      <x:c r="E123" s="57"/>
      <x:c r="F123" s="57"/>
      <x:c r="G123" s="57"/>
      <x:c r="H123" s="57"/>
      <x:c r="I123" s="57"/>
      <x:c r="J123" s="57"/>
      <x:c r="K123" s="57"/>
      <x:c r="L123" s="57"/>
      <x:c r="M123" s="57"/>
      <x:c r="N123" s="57"/>
      <x:c r="O123" s="57"/>
      <x:c r="P123" s="57"/>
      <x:c r="Q123" s="57"/>
      <x:c r="R123" s="57"/>
      <x:c r="S123" s="57"/>
      <x:c r="T123" s="57"/>
      <x:c r="U123" s="57"/>
      <x:c r="V123" s="57"/>
      <x:c r="W123" s="57"/>
      <x:c r="X123" s="57"/>
      <x:c r="Y123" s="57"/>
      <x:c r="Z123" s="57"/>
    </x:row>
    <x:row r="124">
      <x:c r="A124" s="57"/>
      <x:c r="B124" s="57"/>
      <x:c r="C124" s="57"/>
      <x:c r="D124" s="57"/>
      <x:c r="E124" s="57"/>
      <x:c r="F124" s="57"/>
      <x:c r="G124" s="57"/>
      <x:c r="H124" s="57"/>
      <x:c r="I124" s="57"/>
      <x:c r="J124" s="57"/>
      <x:c r="K124" s="57"/>
      <x:c r="L124" s="57"/>
      <x:c r="M124" s="57"/>
      <x:c r="N124" s="57"/>
      <x:c r="O124" s="57"/>
      <x:c r="P124" s="57"/>
      <x:c r="Q124" s="57"/>
      <x:c r="R124" s="57"/>
      <x:c r="S124" s="57"/>
      <x:c r="T124" s="57"/>
      <x:c r="U124" s="57"/>
      <x:c r="V124" s="57"/>
      <x:c r="W124" s="57"/>
      <x:c r="X124" s="57"/>
      <x:c r="Y124" s="57"/>
      <x:c r="Z124" s="57"/>
    </x:row>
    <x:row r="125">
      <x:c r="A125" s="57"/>
      <x:c r="B125" s="57"/>
      <x:c r="C125" s="57"/>
      <x:c r="D125" s="57"/>
      <x:c r="E125" s="57"/>
      <x:c r="F125" s="57"/>
      <x:c r="G125" s="57"/>
      <x:c r="H125" s="57"/>
      <x:c r="I125" s="57"/>
      <x:c r="J125" s="57"/>
      <x:c r="K125" s="57"/>
      <x:c r="L125" s="57"/>
      <x:c r="M125" s="57"/>
      <x:c r="N125" s="57"/>
      <x:c r="O125" s="57"/>
      <x:c r="P125" s="57"/>
      <x:c r="Q125" s="57"/>
      <x:c r="R125" s="57"/>
      <x:c r="S125" s="57"/>
      <x:c r="T125" s="57"/>
      <x:c r="U125" s="57"/>
      <x:c r="V125" s="57"/>
      <x:c r="W125" s="57"/>
      <x:c r="X125" s="57"/>
      <x:c r="Y125" s="57"/>
      <x:c r="Z125" s="57"/>
    </x:row>
    <x:row r="126">
      <x:c r="A126" s="57"/>
      <x:c r="B126" s="57"/>
      <x:c r="C126" s="57"/>
      <x:c r="D126" s="57"/>
      <x:c r="E126" s="57"/>
      <x:c r="F126" s="57"/>
      <x:c r="G126" s="57"/>
      <x:c r="H126" s="57"/>
      <x:c r="I126" s="57"/>
      <x:c r="J126" s="57"/>
      <x:c r="K126" s="57"/>
      <x:c r="L126" s="57"/>
      <x:c r="M126" s="57"/>
      <x:c r="N126" s="57"/>
      <x:c r="O126" s="57"/>
      <x:c r="P126" s="57"/>
      <x:c r="Q126" s="57"/>
      <x:c r="R126" s="57"/>
      <x:c r="S126" s="57"/>
      <x:c r="T126" s="57"/>
      <x:c r="U126" s="57"/>
      <x:c r="V126" s="57"/>
      <x:c r="W126" s="57"/>
      <x:c r="X126" s="57"/>
      <x:c r="Y126" s="57"/>
      <x:c r="Z126" s="57"/>
    </x:row>
    <x:row r="127">
      <x:c r="A127" s="57"/>
      <x:c r="B127" s="57"/>
      <x:c r="C127" s="57"/>
      <x:c r="D127" s="57"/>
      <x:c r="E127" s="57"/>
      <x:c r="F127" s="57"/>
      <x:c r="G127" s="57"/>
      <x:c r="H127" s="57"/>
      <x:c r="I127" s="57"/>
      <x:c r="J127" s="57"/>
      <x:c r="K127" s="57"/>
      <x:c r="L127" s="57"/>
      <x:c r="M127" s="57"/>
      <x:c r="N127" s="57"/>
      <x:c r="O127" s="57"/>
      <x:c r="P127" s="57"/>
      <x:c r="Q127" s="57"/>
      <x:c r="R127" s="57"/>
      <x:c r="S127" s="57"/>
      <x:c r="T127" s="57"/>
      <x:c r="U127" s="57"/>
      <x:c r="V127" s="57"/>
      <x:c r="W127" s="57"/>
      <x:c r="X127" s="57"/>
      <x:c r="Y127" s="57"/>
      <x:c r="Z127" s="57"/>
    </x:row>
    <x:row r="128">
      <x:c r="A128" s="57"/>
      <x:c r="B128" s="57"/>
      <x:c r="C128" s="57"/>
      <x:c r="D128" s="57"/>
      <x:c r="E128" s="57"/>
      <x:c r="F128" s="57"/>
      <x:c r="G128" s="57"/>
      <x:c r="H128" s="57"/>
      <x:c r="I128" s="57"/>
      <x:c r="J128" s="57"/>
      <x:c r="K128" s="57"/>
      <x:c r="L128" s="57"/>
      <x:c r="M128" s="57"/>
      <x:c r="N128" s="57"/>
      <x:c r="O128" s="57"/>
      <x:c r="P128" s="57"/>
      <x:c r="Q128" s="57"/>
      <x:c r="R128" s="57"/>
      <x:c r="S128" s="57"/>
      <x:c r="T128" s="57"/>
      <x:c r="U128" s="57"/>
      <x:c r="V128" s="57"/>
      <x:c r="W128" s="57"/>
      <x:c r="X128" s="57"/>
      <x:c r="Y128" s="57"/>
      <x:c r="Z128" s="57"/>
    </x:row>
    <x:row r="129">
      <x:c r="A129" s="57"/>
      <x:c r="B129" s="57"/>
      <x:c r="C129" s="57"/>
      <x:c r="D129" s="57"/>
      <x:c r="E129" s="57"/>
      <x:c r="F129" s="57"/>
      <x:c r="G129" s="57"/>
      <x:c r="H129" s="57"/>
      <x:c r="I129" s="57"/>
      <x:c r="J129" s="57"/>
      <x:c r="K129" s="57"/>
      <x:c r="L129" s="57"/>
      <x:c r="M129" s="57"/>
      <x:c r="N129" s="57"/>
      <x:c r="O129" s="57"/>
      <x:c r="P129" s="57"/>
      <x:c r="Q129" s="57"/>
      <x:c r="R129" s="57"/>
      <x:c r="S129" s="57"/>
      <x:c r="T129" s="57"/>
      <x:c r="U129" s="57"/>
      <x:c r="V129" s="57"/>
      <x:c r="W129" s="57"/>
      <x:c r="X129" s="57"/>
      <x:c r="Y129" s="57"/>
      <x:c r="Z129" s="57"/>
    </x:row>
    <x:row r="130">
      <x:c r="A130" s="57"/>
      <x:c r="B130" s="57"/>
      <x:c r="C130" s="57"/>
      <x:c r="D130" s="57"/>
      <x:c r="E130" s="57"/>
      <x:c r="F130" s="57"/>
      <x:c r="G130" s="57"/>
      <x:c r="H130" s="57"/>
      <x:c r="I130" s="57"/>
      <x:c r="J130" s="57"/>
      <x:c r="K130" s="57"/>
      <x:c r="L130" s="57"/>
      <x:c r="M130" s="57"/>
      <x:c r="N130" s="57"/>
      <x:c r="O130" s="57"/>
      <x:c r="P130" s="57"/>
      <x:c r="Q130" s="57"/>
      <x:c r="R130" s="57"/>
      <x:c r="S130" s="57"/>
      <x:c r="T130" s="57"/>
      <x:c r="U130" s="57"/>
      <x:c r="V130" s="57"/>
      <x:c r="W130" s="57"/>
      <x:c r="X130" s="57"/>
      <x:c r="Y130" s="57"/>
      <x:c r="Z130" s="57"/>
    </x:row>
    <x:row r="131">
      <x:c r="A131" s="57"/>
      <x:c r="B131" s="57"/>
      <x:c r="C131" s="57"/>
      <x:c r="D131" s="57"/>
      <x:c r="E131" s="57"/>
      <x:c r="F131" s="57"/>
      <x:c r="G131" s="57"/>
      <x:c r="H131" s="57"/>
      <x:c r="I131" s="57"/>
      <x:c r="J131" s="57"/>
      <x:c r="K131" s="57"/>
      <x:c r="L131" s="57"/>
      <x:c r="M131" s="57"/>
      <x:c r="N131" s="57"/>
      <x:c r="O131" s="57"/>
      <x:c r="P131" s="57"/>
      <x:c r="Q131" s="57"/>
      <x:c r="R131" s="57"/>
      <x:c r="S131" s="57"/>
      <x:c r="T131" s="57"/>
      <x:c r="U131" s="57"/>
      <x:c r="V131" s="57"/>
      <x:c r="W131" s="57"/>
      <x:c r="X131" s="57"/>
      <x:c r="Y131" s="57"/>
      <x:c r="Z131" s="57"/>
    </x:row>
    <x:row r="132">
      <x:c r="A132" s="57"/>
      <x:c r="B132" s="57"/>
      <x:c r="C132" s="57"/>
      <x:c r="D132" s="57"/>
      <x:c r="E132" s="57"/>
      <x:c r="F132" s="57"/>
      <x:c r="G132" s="57"/>
      <x:c r="H132" s="57"/>
      <x:c r="I132" s="57"/>
      <x:c r="J132" s="57"/>
      <x:c r="K132" s="57"/>
      <x:c r="L132" s="57"/>
      <x:c r="M132" s="57"/>
      <x:c r="N132" s="57"/>
      <x:c r="O132" s="57"/>
      <x:c r="P132" s="57"/>
      <x:c r="Q132" s="57"/>
      <x:c r="R132" s="57"/>
      <x:c r="S132" s="57"/>
      <x:c r="T132" s="57"/>
      <x:c r="U132" s="57"/>
      <x:c r="V132" s="57"/>
      <x:c r="W132" s="57"/>
      <x:c r="X132" s="57"/>
      <x:c r="Y132" s="57"/>
      <x:c r="Z132" s="57"/>
    </x:row>
    <x:row r="133">
      <x:c r="A133" s="57"/>
      <x:c r="B133" s="57"/>
      <x:c r="C133" s="57"/>
      <x:c r="D133" s="57"/>
      <x:c r="E133" s="57"/>
      <x:c r="F133" s="57"/>
      <x:c r="G133" s="57"/>
      <x:c r="H133" s="57"/>
      <x:c r="I133" s="57"/>
      <x:c r="J133" s="57"/>
      <x:c r="K133" s="57"/>
      <x:c r="L133" s="57"/>
      <x:c r="M133" s="57"/>
      <x:c r="N133" s="57"/>
      <x:c r="O133" s="57"/>
      <x:c r="P133" s="57"/>
      <x:c r="Q133" s="57"/>
      <x:c r="R133" s="57"/>
      <x:c r="S133" s="57"/>
      <x:c r="T133" s="57"/>
      <x:c r="U133" s="57"/>
      <x:c r="V133" s="57"/>
      <x:c r="W133" s="57"/>
      <x:c r="X133" s="57"/>
      <x:c r="Y133" s="57"/>
      <x:c r="Z133" s="57"/>
    </x:row>
    <x:row r="134">
      <x:c r="A134" s="57"/>
      <x:c r="B134" s="57"/>
      <x:c r="C134" s="57"/>
      <x:c r="D134" s="57"/>
      <x:c r="E134" s="57"/>
      <x:c r="F134" s="57"/>
      <x:c r="G134" s="57"/>
      <x:c r="H134" s="57"/>
      <x:c r="I134" s="57"/>
      <x:c r="J134" s="57"/>
      <x:c r="K134" s="57"/>
      <x:c r="L134" s="57"/>
      <x:c r="M134" s="57"/>
      <x:c r="N134" s="57"/>
      <x:c r="O134" s="57"/>
      <x:c r="P134" s="57"/>
      <x:c r="Q134" s="57"/>
      <x:c r="R134" s="57"/>
      <x:c r="S134" s="57"/>
      <x:c r="T134" s="57"/>
      <x:c r="U134" s="57"/>
      <x:c r="V134" s="57"/>
      <x:c r="W134" s="57"/>
      <x:c r="X134" s="57"/>
      <x:c r="Y134" s="57"/>
      <x:c r="Z134" s="57"/>
    </x:row>
    <x:row r="135">
      <x:c r="A135" s="57"/>
      <x:c r="B135" s="57"/>
      <x:c r="C135" s="57"/>
      <x:c r="D135" s="57"/>
      <x:c r="E135" s="57"/>
      <x:c r="F135" s="57"/>
      <x:c r="G135" s="57"/>
      <x:c r="H135" s="57"/>
      <x:c r="I135" s="57"/>
      <x:c r="J135" s="57"/>
      <x:c r="K135" s="57"/>
      <x:c r="L135" s="57"/>
      <x:c r="M135" s="57"/>
      <x:c r="N135" s="57"/>
      <x:c r="O135" s="57"/>
      <x:c r="P135" s="57"/>
      <x:c r="Q135" s="57"/>
      <x:c r="R135" s="57"/>
      <x:c r="S135" s="57"/>
      <x:c r="T135" s="57"/>
      <x:c r="U135" s="57"/>
      <x:c r="V135" s="57"/>
      <x:c r="W135" s="57"/>
      <x:c r="X135" s="57"/>
      <x:c r="Y135" s="57"/>
      <x:c r="Z135" s="57"/>
    </x:row>
    <x:row r="136">
      <x:c r="A136" s="57"/>
      <x:c r="B136" s="57"/>
      <x:c r="C136" s="57"/>
      <x:c r="D136" s="57"/>
      <x:c r="E136" s="57"/>
      <x:c r="F136" s="57"/>
      <x:c r="G136" s="57"/>
      <x:c r="H136" s="57"/>
      <x:c r="I136" s="57"/>
      <x:c r="J136" s="57"/>
      <x:c r="K136" s="57"/>
      <x:c r="L136" s="57"/>
      <x:c r="M136" s="57"/>
      <x:c r="N136" s="57"/>
      <x:c r="O136" s="57"/>
      <x:c r="P136" s="57"/>
      <x:c r="Q136" s="57"/>
      <x:c r="R136" s="57"/>
      <x:c r="S136" s="57"/>
      <x:c r="T136" s="57"/>
      <x:c r="U136" s="57"/>
      <x:c r="V136" s="57"/>
      <x:c r="W136" s="57"/>
      <x:c r="X136" s="57"/>
      <x:c r="Y136" s="57"/>
      <x:c r="Z136" s="57"/>
    </x:row>
    <x:row r="137">
      <x:c r="A137" s="57"/>
      <x:c r="B137" s="57"/>
      <x:c r="C137" s="57"/>
      <x:c r="D137" s="57"/>
      <x:c r="E137" s="57"/>
      <x:c r="F137" s="57"/>
      <x:c r="G137" s="57"/>
      <x:c r="H137" s="57"/>
      <x:c r="I137" s="57"/>
      <x:c r="J137" s="57"/>
      <x:c r="K137" s="57"/>
      <x:c r="L137" s="57"/>
      <x:c r="M137" s="57"/>
      <x:c r="N137" s="57"/>
      <x:c r="O137" s="57"/>
      <x:c r="P137" s="57"/>
      <x:c r="Q137" s="57"/>
      <x:c r="R137" s="57"/>
      <x:c r="S137" s="57"/>
      <x:c r="T137" s="57"/>
      <x:c r="U137" s="57"/>
      <x:c r="V137" s="57"/>
      <x:c r="W137" s="57"/>
      <x:c r="X137" s="57"/>
      <x:c r="Y137" s="57"/>
      <x:c r="Z137" s="57"/>
    </x:row>
    <x:row r="138">
      <x:c r="A138" s="57"/>
      <x:c r="B138" s="57"/>
      <x:c r="C138" s="57"/>
      <x:c r="D138" s="57"/>
      <x:c r="E138" s="57"/>
      <x:c r="F138" s="57"/>
      <x:c r="G138" s="57"/>
      <x:c r="H138" s="57"/>
      <x:c r="I138" s="57"/>
      <x:c r="J138" s="57"/>
      <x:c r="K138" s="57"/>
      <x:c r="L138" s="57"/>
      <x:c r="M138" s="57"/>
      <x:c r="N138" s="57"/>
      <x:c r="O138" s="57"/>
      <x:c r="P138" s="57"/>
      <x:c r="Q138" s="57"/>
      <x:c r="R138" s="57"/>
      <x:c r="S138" s="57"/>
      <x:c r="T138" s="57"/>
      <x:c r="U138" s="57"/>
      <x:c r="V138" s="57"/>
      <x:c r="W138" s="57"/>
      <x:c r="X138" s="57"/>
      <x:c r="Y138" s="57"/>
      <x:c r="Z138" s="57"/>
    </x:row>
    <x:row r="139">
      <x:c r="A139" s="57"/>
      <x:c r="B139" s="57"/>
      <x:c r="C139" s="57"/>
      <x:c r="D139" s="57"/>
      <x:c r="E139" s="57"/>
      <x:c r="F139" s="57"/>
      <x:c r="G139" s="57"/>
      <x:c r="H139" s="57"/>
      <x:c r="I139" s="57"/>
      <x:c r="J139" s="57"/>
      <x:c r="K139" s="57"/>
      <x:c r="L139" s="57"/>
      <x:c r="M139" s="57"/>
      <x:c r="N139" s="57"/>
      <x:c r="O139" s="57"/>
      <x:c r="P139" s="57"/>
      <x:c r="Q139" s="57"/>
      <x:c r="R139" s="57"/>
      <x:c r="S139" s="57"/>
      <x:c r="T139" s="57"/>
      <x:c r="U139" s="57"/>
      <x:c r="V139" s="57"/>
      <x:c r="W139" s="57"/>
      <x:c r="X139" s="57"/>
      <x:c r="Y139" s="57"/>
      <x:c r="Z139" s="57"/>
    </x:row>
    <x:row r="140">
      <x:c r="A140" s="57"/>
      <x:c r="B140" s="57"/>
      <x:c r="C140" s="57"/>
      <x:c r="D140" s="57"/>
      <x:c r="E140" s="57"/>
      <x:c r="F140" s="57"/>
      <x:c r="G140" s="57"/>
      <x:c r="H140" s="57"/>
      <x:c r="I140" s="57"/>
      <x:c r="J140" s="57"/>
      <x:c r="K140" s="57"/>
      <x:c r="L140" s="57"/>
      <x:c r="M140" s="57"/>
      <x:c r="N140" s="57"/>
      <x:c r="O140" s="57"/>
      <x:c r="P140" s="57"/>
      <x:c r="Q140" s="57"/>
      <x:c r="R140" s="57"/>
      <x:c r="S140" s="57"/>
      <x:c r="T140" s="57"/>
      <x:c r="U140" s="57"/>
      <x:c r="V140" s="57"/>
      <x:c r="W140" s="57"/>
      <x:c r="X140" s="57"/>
      <x:c r="Y140" s="57"/>
      <x:c r="Z140" s="57"/>
    </x:row>
    <x:row r="141">
      <x:c r="A141" s="57"/>
      <x:c r="B141" s="57"/>
      <x:c r="C141" s="57"/>
      <x:c r="D141" s="57"/>
      <x:c r="E141" s="57"/>
      <x:c r="F141" s="57"/>
      <x:c r="G141" s="57"/>
      <x:c r="H141" s="57"/>
      <x:c r="I141" s="57"/>
      <x:c r="J141" s="57"/>
      <x:c r="K141" s="57"/>
      <x:c r="L141" s="57"/>
      <x:c r="M141" s="57"/>
      <x:c r="N141" s="57"/>
      <x:c r="O141" s="57"/>
      <x:c r="P141" s="57"/>
      <x:c r="Q141" s="57"/>
      <x:c r="R141" s="57"/>
      <x:c r="S141" s="57"/>
      <x:c r="T141" s="57"/>
      <x:c r="U141" s="57"/>
      <x:c r="V141" s="57"/>
      <x:c r="W141" s="57"/>
      <x:c r="X141" s="57"/>
      <x:c r="Y141" s="57"/>
      <x:c r="Z141" s="57"/>
    </x:row>
    <x:row r="142">
      <x:c r="A142" s="57"/>
      <x:c r="B142" s="57"/>
      <x:c r="C142" s="57"/>
      <x:c r="D142" s="57"/>
      <x:c r="E142" s="57"/>
      <x:c r="F142" s="57"/>
      <x:c r="G142" s="57"/>
      <x:c r="H142" s="57"/>
      <x:c r="I142" s="57"/>
      <x:c r="J142" s="57"/>
      <x:c r="K142" s="57"/>
      <x:c r="L142" s="57"/>
      <x:c r="M142" s="57"/>
      <x:c r="N142" s="57"/>
      <x:c r="O142" s="57"/>
      <x:c r="P142" s="57"/>
      <x:c r="Q142" s="57"/>
      <x:c r="R142" s="57"/>
      <x:c r="S142" s="57"/>
      <x:c r="T142" s="57"/>
      <x:c r="U142" s="57"/>
      <x:c r="V142" s="57"/>
      <x:c r="W142" s="57"/>
      <x:c r="X142" s="57"/>
      <x:c r="Y142" s="57"/>
      <x:c r="Z142" s="57"/>
    </x:row>
    <x:row r="143">
      <x:c r="A143" s="57"/>
      <x:c r="B143" s="57"/>
      <x:c r="C143" s="57"/>
      <x:c r="D143" s="57"/>
      <x:c r="E143" s="57"/>
      <x:c r="F143" s="57"/>
      <x:c r="G143" s="57"/>
      <x:c r="H143" s="57"/>
      <x:c r="I143" s="57"/>
      <x:c r="J143" s="57"/>
      <x:c r="K143" s="57"/>
      <x:c r="L143" s="57"/>
      <x:c r="M143" s="57"/>
      <x:c r="N143" s="57"/>
      <x:c r="O143" s="57"/>
      <x:c r="P143" s="57"/>
      <x:c r="Q143" s="57"/>
      <x:c r="R143" s="57"/>
      <x:c r="S143" s="57"/>
      <x:c r="T143" s="57"/>
      <x:c r="U143" s="57"/>
      <x:c r="V143" s="57"/>
      <x:c r="W143" s="57"/>
      <x:c r="X143" s="57"/>
      <x:c r="Y143" s="57"/>
      <x:c r="Z143" s="57"/>
    </x:row>
    <x:row r="144">
      <x:c r="A144" s="57"/>
      <x:c r="B144" s="57"/>
      <x:c r="C144" s="57"/>
      <x:c r="D144" s="57"/>
      <x:c r="E144" s="57"/>
      <x:c r="F144" s="57"/>
      <x:c r="G144" s="57"/>
      <x:c r="H144" s="57"/>
      <x:c r="I144" s="57"/>
      <x:c r="J144" s="57"/>
      <x:c r="K144" s="57"/>
      <x:c r="L144" s="57"/>
      <x:c r="M144" s="57"/>
      <x:c r="N144" s="57"/>
      <x:c r="O144" s="57"/>
      <x:c r="P144" s="57"/>
      <x:c r="Q144" s="57"/>
      <x:c r="R144" s="57"/>
      <x:c r="S144" s="57"/>
      <x:c r="T144" s="57"/>
      <x:c r="U144" s="57"/>
      <x:c r="V144" s="57"/>
      <x:c r="W144" s="57"/>
      <x:c r="X144" s="57"/>
      <x:c r="Y144" s="57"/>
      <x:c r="Z144" s="57"/>
    </x:row>
    <x:row r="145">
      <x:c r="A145" s="57"/>
      <x:c r="B145" s="57"/>
      <x:c r="C145" s="57"/>
      <x:c r="D145" s="57"/>
      <x:c r="E145" s="57"/>
      <x:c r="F145" s="57"/>
      <x:c r="G145" s="57"/>
      <x:c r="H145" s="57"/>
      <x:c r="I145" s="57"/>
      <x:c r="J145" s="57"/>
      <x:c r="K145" s="57"/>
      <x:c r="L145" s="57"/>
      <x:c r="M145" s="57"/>
      <x:c r="N145" s="57"/>
      <x:c r="O145" s="57"/>
      <x:c r="P145" s="57"/>
      <x:c r="Q145" s="57"/>
      <x:c r="R145" s="57"/>
      <x:c r="S145" s="57"/>
      <x:c r="T145" s="57"/>
      <x:c r="U145" s="57"/>
      <x:c r="V145" s="57"/>
      <x:c r="W145" s="57"/>
      <x:c r="X145" s="57"/>
      <x:c r="Y145" s="57"/>
      <x:c r="Z145" s="57"/>
    </x:row>
    <x:row r="146">
      <x:c r="A146" s="57"/>
      <x:c r="B146" s="57"/>
      <x:c r="C146" s="57"/>
      <x:c r="D146" s="57"/>
      <x:c r="E146" s="57"/>
      <x:c r="F146" s="57"/>
      <x:c r="G146" s="57"/>
      <x:c r="H146" s="57"/>
      <x:c r="I146" s="57"/>
      <x:c r="J146" s="57"/>
      <x:c r="K146" s="57"/>
      <x:c r="L146" s="57"/>
      <x:c r="M146" s="57"/>
      <x:c r="N146" s="57"/>
      <x:c r="O146" s="57"/>
      <x:c r="P146" s="57"/>
      <x:c r="Q146" s="57"/>
      <x:c r="R146" s="57"/>
      <x:c r="S146" s="57"/>
      <x:c r="T146" s="57"/>
      <x:c r="U146" s="57"/>
      <x:c r="V146" s="57"/>
      <x:c r="W146" s="57"/>
      <x:c r="X146" s="57"/>
      <x:c r="Y146" s="57"/>
      <x:c r="Z146" s="57"/>
    </x:row>
    <x:row r="147">
      <x:c r="A147" s="57"/>
      <x:c r="B147" s="57"/>
      <x:c r="C147" s="57"/>
      <x:c r="D147" s="57"/>
      <x:c r="E147" s="57"/>
      <x:c r="F147" s="57"/>
      <x:c r="G147" s="57"/>
      <x:c r="H147" s="57"/>
      <x:c r="I147" s="57"/>
      <x:c r="J147" s="57"/>
      <x:c r="K147" s="57"/>
      <x:c r="L147" s="57"/>
      <x:c r="M147" s="57"/>
      <x:c r="N147" s="57"/>
      <x:c r="O147" s="57"/>
      <x:c r="P147" s="57"/>
      <x:c r="Q147" s="57"/>
      <x:c r="R147" s="57"/>
      <x:c r="S147" s="57"/>
      <x:c r="T147" s="57"/>
      <x:c r="U147" s="57"/>
      <x:c r="V147" s="57"/>
      <x:c r="W147" s="57"/>
      <x:c r="X147" s="57"/>
      <x:c r="Y147" s="57"/>
      <x:c r="Z147" s="57"/>
    </x:row>
    <x:row r="148">
      <x:c r="A148" s="57"/>
      <x:c r="B148" s="57"/>
      <x:c r="C148" s="57"/>
      <x:c r="D148" s="57"/>
      <x:c r="E148" s="57"/>
      <x:c r="F148" s="57"/>
      <x:c r="G148" s="57"/>
      <x:c r="H148" s="57"/>
      <x:c r="I148" s="57"/>
      <x:c r="J148" s="57"/>
      <x:c r="K148" s="57"/>
      <x:c r="L148" s="57"/>
      <x:c r="M148" s="57"/>
      <x:c r="N148" s="57"/>
      <x:c r="O148" s="57"/>
      <x:c r="P148" s="57"/>
      <x:c r="Q148" s="57"/>
      <x:c r="R148" s="57"/>
      <x:c r="S148" s="57"/>
      <x:c r="T148" s="57"/>
      <x:c r="U148" s="57"/>
      <x:c r="V148" s="57"/>
      <x:c r="W148" s="57"/>
      <x:c r="X148" s="57"/>
      <x:c r="Y148" s="57"/>
      <x:c r="Z148" s="57"/>
    </x:row>
    <x:row r="149">
      <x:c r="A149" s="57"/>
      <x:c r="B149" s="57"/>
      <x:c r="C149" s="57"/>
      <x:c r="D149" s="57"/>
      <x:c r="E149" s="57"/>
      <x:c r="F149" s="57"/>
      <x:c r="G149" s="57"/>
      <x:c r="H149" s="57"/>
      <x:c r="I149" s="57"/>
      <x:c r="J149" s="57"/>
      <x:c r="K149" s="57"/>
      <x:c r="L149" s="57"/>
      <x:c r="M149" s="57"/>
      <x:c r="N149" s="57"/>
      <x:c r="O149" s="57"/>
      <x:c r="P149" s="57"/>
      <x:c r="Q149" s="57"/>
      <x:c r="R149" s="57"/>
      <x:c r="S149" s="57"/>
      <x:c r="T149" s="57"/>
      <x:c r="U149" s="57"/>
      <x:c r="V149" s="57"/>
      <x:c r="W149" s="57"/>
      <x:c r="X149" s="57"/>
      <x:c r="Y149" s="57"/>
      <x:c r="Z149" s="57"/>
    </x:row>
    <x:row r="150">
      <x:c r="A150" s="57"/>
      <x:c r="B150" s="57"/>
      <x:c r="C150" s="57"/>
      <x:c r="D150" s="57"/>
      <x:c r="E150" s="57"/>
      <x:c r="F150" s="57"/>
      <x:c r="G150" s="57"/>
      <x:c r="H150" s="57"/>
      <x:c r="I150" s="57"/>
      <x:c r="J150" s="57"/>
      <x:c r="K150" s="57"/>
      <x:c r="L150" s="57"/>
      <x:c r="M150" s="57"/>
      <x:c r="N150" s="57"/>
      <x:c r="O150" s="57"/>
      <x:c r="P150" s="57"/>
      <x:c r="Q150" s="57"/>
      <x:c r="R150" s="57"/>
      <x:c r="S150" s="57"/>
      <x:c r="T150" s="57"/>
      <x:c r="U150" s="57"/>
      <x:c r="V150" s="57"/>
      <x:c r="W150" s="57"/>
      <x:c r="X150" s="57"/>
      <x:c r="Y150" s="57"/>
      <x:c r="Z150" s="57"/>
    </x:row>
    <x:row r="151">
      <x:c r="A151" s="57"/>
      <x:c r="B151" s="57"/>
      <x:c r="C151" s="57"/>
      <x:c r="D151" s="57"/>
      <x:c r="E151" s="57"/>
      <x:c r="F151" s="57"/>
      <x:c r="G151" s="57"/>
      <x:c r="H151" s="57"/>
      <x:c r="I151" s="57"/>
      <x:c r="J151" s="57"/>
      <x:c r="K151" s="57"/>
      <x:c r="L151" s="57"/>
      <x:c r="M151" s="57"/>
      <x:c r="N151" s="57"/>
      <x:c r="O151" s="57"/>
      <x:c r="P151" s="57"/>
      <x:c r="Q151" s="57"/>
      <x:c r="R151" s="57"/>
      <x:c r="S151" s="57"/>
      <x:c r="T151" s="57"/>
      <x:c r="U151" s="57"/>
      <x:c r="V151" s="57"/>
      <x:c r="W151" s="57"/>
      <x:c r="X151" s="57"/>
      <x:c r="Y151" s="57"/>
      <x:c r="Z151" s="57"/>
    </x:row>
    <x:row r="152">
      <x:c r="A152" s="57"/>
      <x:c r="B152" s="57"/>
      <x:c r="C152" s="57"/>
      <x:c r="D152" s="57"/>
      <x:c r="E152" s="57"/>
      <x:c r="F152" s="57"/>
      <x:c r="G152" s="57"/>
      <x:c r="H152" s="57"/>
      <x:c r="I152" s="57"/>
      <x:c r="J152" s="57"/>
      <x:c r="K152" s="57"/>
      <x:c r="L152" s="57"/>
      <x:c r="M152" s="57"/>
      <x:c r="N152" s="57"/>
      <x:c r="O152" s="57"/>
      <x:c r="P152" s="57"/>
      <x:c r="Q152" s="57"/>
      <x:c r="R152" s="57"/>
      <x:c r="S152" s="57"/>
      <x:c r="T152" s="57"/>
      <x:c r="U152" s="57"/>
      <x:c r="V152" s="57"/>
      <x:c r="W152" s="57"/>
      <x:c r="X152" s="57"/>
      <x:c r="Y152" s="57"/>
      <x:c r="Z152" s="57"/>
    </x:row>
    <x:row r="153">
      <x:c r="A153" s="57"/>
      <x:c r="B153" s="57"/>
      <x:c r="C153" s="57"/>
      <x:c r="D153" s="57"/>
      <x:c r="E153" s="57"/>
      <x:c r="F153" s="57"/>
      <x:c r="G153" s="57"/>
      <x:c r="H153" s="57"/>
      <x:c r="I153" s="57"/>
      <x:c r="J153" s="57"/>
      <x:c r="K153" s="57"/>
      <x:c r="L153" s="57"/>
      <x:c r="M153" s="57"/>
      <x:c r="N153" s="57"/>
      <x:c r="O153" s="57"/>
      <x:c r="P153" s="57"/>
      <x:c r="Q153" s="57"/>
      <x:c r="R153" s="57"/>
      <x:c r="S153" s="57"/>
      <x:c r="T153" s="57"/>
      <x:c r="U153" s="57"/>
      <x:c r="V153" s="57"/>
      <x:c r="W153" s="57"/>
      <x:c r="X153" s="57"/>
      <x:c r="Y153" s="57"/>
      <x:c r="Z153" s="57"/>
    </x:row>
    <x:row r="154">
      <x:c r="A154" s="57"/>
      <x:c r="B154" s="57"/>
      <x:c r="C154" s="57"/>
      <x:c r="D154" s="57"/>
      <x:c r="E154" s="57"/>
      <x:c r="F154" s="57"/>
      <x:c r="G154" s="57"/>
      <x:c r="H154" s="57"/>
      <x:c r="I154" s="57"/>
      <x:c r="J154" s="57"/>
      <x:c r="K154" s="57"/>
      <x:c r="L154" s="57"/>
      <x:c r="M154" s="57"/>
      <x:c r="N154" s="57"/>
      <x:c r="O154" s="57"/>
      <x:c r="P154" s="57"/>
      <x:c r="Q154" s="57"/>
      <x:c r="R154" s="57"/>
      <x:c r="S154" s="57"/>
      <x:c r="T154" s="57"/>
      <x:c r="U154" s="57"/>
      <x:c r="V154" s="57"/>
      <x:c r="W154" s="57"/>
      <x:c r="X154" s="57"/>
      <x:c r="Y154" s="57"/>
      <x:c r="Z154" s="57"/>
    </x:row>
    <x:row r="155">
      <x:c r="A155" s="57"/>
      <x:c r="B155" s="57"/>
      <x:c r="C155" s="57"/>
      <x:c r="D155" s="57"/>
      <x:c r="E155" s="57"/>
      <x:c r="F155" s="57"/>
      <x:c r="G155" s="57"/>
      <x:c r="H155" s="57"/>
      <x:c r="I155" s="57"/>
      <x:c r="J155" s="57"/>
      <x:c r="K155" s="57"/>
      <x:c r="L155" s="57"/>
      <x:c r="M155" s="57"/>
      <x:c r="N155" s="57"/>
      <x:c r="O155" s="57"/>
      <x:c r="P155" s="57"/>
      <x:c r="Q155" s="57"/>
      <x:c r="R155" s="57"/>
      <x:c r="S155" s="57"/>
      <x:c r="T155" s="57"/>
      <x:c r="U155" s="57"/>
      <x:c r="V155" s="57"/>
      <x:c r="W155" s="57"/>
      <x:c r="X155" s="57"/>
      <x:c r="Y155" s="57"/>
      <x:c r="Z155" s="57"/>
    </x:row>
    <x:row r="156">
      <x:c r="A156" s="57"/>
      <x:c r="B156" s="57"/>
      <x:c r="C156" s="57"/>
      <x:c r="D156" s="57"/>
      <x:c r="E156" s="57"/>
      <x:c r="F156" s="57"/>
      <x:c r="G156" s="57"/>
      <x:c r="H156" s="57"/>
      <x:c r="I156" s="57"/>
      <x:c r="J156" s="57"/>
      <x:c r="K156" s="57"/>
      <x:c r="L156" s="57"/>
      <x:c r="M156" s="57"/>
      <x:c r="N156" s="57"/>
      <x:c r="O156" s="57"/>
      <x:c r="P156" s="57"/>
      <x:c r="Q156" s="57"/>
      <x:c r="R156" s="57"/>
      <x:c r="S156" s="57"/>
      <x:c r="T156" s="57"/>
      <x:c r="U156" s="57"/>
      <x:c r="V156" s="57"/>
      <x:c r="W156" s="57"/>
      <x:c r="X156" s="57"/>
      <x:c r="Y156" s="57"/>
      <x:c r="Z156" s="57"/>
    </x:row>
    <x:row r="157">
      <x:c r="A157" s="57"/>
      <x:c r="B157" s="57"/>
      <x:c r="C157" s="57"/>
      <x:c r="D157" s="57"/>
      <x:c r="E157" s="57"/>
      <x:c r="F157" s="57"/>
      <x:c r="G157" s="57"/>
      <x:c r="H157" s="57"/>
      <x:c r="I157" s="57"/>
      <x:c r="J157" s="57"/>
      <x:c r="K157" s="57"/>
      <x:c r="L157" s="57"/>
      <x:c r="M157" s="57"/>
      <x:c r="N157" s="57"/>
      <x:c r="O157" s="57"/>
      <x:c r="P157" s="57"/>
      <x:c r="Q157" s="57"/>
      <x:c r="R157" s="57"/>
      <x:c r="S157" s="57"/>
      <x:c r="T157" s="57"/>
      <x:c r="U157" s="57"/>
      <x:c r="V157" s="57"/>
      <x:c r="W157" s="57"/>
      <x:c r="X157" s="57"/>
      <x:c r="Y157" s="57"/>
      <x:c r="Z157" s="57"/>
    </x:row>
    <x:row r="158">
      <x:c r="A158" s="57"/>
      <x:c r="B158" s="57"/>
      <x:c r="C158" s="57"/>
      <x:c r="D158" s="57"/>
      <x:c r="E158" s="57"/>
      <x:c r="F158" s="57"/>
      <x:c r="G158" s="57"/>
      <x:c r="H158" s="57"/>
      <x:c r="I158" s="57"/>
      <x:c r="J158" s="57"/>
      <x:c r="K158" s="57"/>
      <x:c r="L158" s="57"/>
      <x:c r="M158" s="57"/>
      <x:c r="N158" s="57"/>
      <x:c r="O158" s="57"/>
      <x:c r="P158" s="57"/>
      <x:c r="Q158" s="57"/>
      <x:c r="R158" s="57"/>
      <x:c r="S158" s="57"/>
      <x:c r="T158" s="57"/>
      <x:c r="U158" s="57"/>
      <x:c r="V158" s="57"/>
      <x:c r="W158" s="57"/>
      <x:c r="X158" s="57"/>
      <x:c r="Y158" s="57"/>
      <x:c r="Z158" s="57"/>
    </x:row>
    <x:row r="159">
      <x:c r="A159" s="57"/>
      <x:c r="B159" s="57"/>
      <x:c r="C159" s="57"/>
      <x:c r="D159" s="57"/>
      <x:c r="E159" s="57"/>
      <x:c r="F159" s="57"/>
      <x:c r="G159" s="57"/>
      <x:c r="H159" s="57"/>
      <x:c r="I159" s="57"/>
      <x:c r="J159" s="57"/>
      <x:c r="K159" s="57"/>
      <x:c r="L159" s="57"/>
      <x:c r="M159" s="57"/>
      <x:c r="N159" s="57"/>
      <x:c r="O159" s="57"/>
      <x:c r="P159" s="57"/>
      <x:c r="Q159" s="57"/>
      <x:c r="R159" s="57"/>
      <x:c r="S159" s="57"/>
      <x:c r="T159" s="57"/>
      <x:c r="U159" s="57"/>
      <x:c r="V159" s="57"/>
      <x:c r="W159" s="57"/>
      <x:c r="X159" s="57"/>
      <x:c r="Y159" s="57"/>
      <x:c r="Z159" s="57"/>
    </x:row>
    <x:row r="160">
      <x:c r="A160" s="57"/>
      <x:c r="B160" s="57"/>
      <x:c r="C160" s="57"/>
      <x:c r="D160" s="57"/>
      <x:c r="E160" s="57"/>
      <x:c r="F160" s="57"/>
      <x:c r="G160" s="57"/>
      <x:c r="H160" s="57"/>
      <x:c r="I160" s="57"/>
      <x:c r="J160" s="57"/>
      <x:c r="K160" s="57"/>
      <x:c r="L160" s="57"/>
      <x:c r="M160" s="57"/>
      <x:c r="N160" s="57"/>
      <x:c r="O160" s="57"/>
      <x:c r="P160" s="57"/>
      <x:c r="Q160" s="57"/>
      <x:c r="R160" s="57"/>
      <x:c r="S160" s="57"/>
      <x:c r="T160" s="57"/>
      <x:c r="U160" s="57"/>
      <x:c r="V160" s="57"/>
      <x:c r="W160" s="57"/>
      <x:c r="X160" s="57"/>
      <x:c r="Y160" s="57"/>
      <x:c r="Z160" s="57"/>
    </x:row>
    <x:row r="161">
      <x:c r="A161" s="57"/>
      <x:c r="B161" s="57"/>
      <x:c r="C161" s="57"/>
      <x:c r="D161" s="57"/>
      <x:c r="E161" s="57"/>
      <x:c r="F161" s="57"/>
      <x:c r="G161" s="57"/>
      <x:c r="H161" s="57"/>
      <x:c r="I161" s="57"/>
      <x:c r="J161" s="57"/>
      <x:c r="K161" s="57"/>
      <x:c r="L161" s="57"/>
      <x:c r="M161" s="57"/>
      <x:c r="N161" s="57"/>
      <x:c r="O161" s="57"/>
      <x:c r="P161" s="57"/>
      <x:c r="Q161" s="57"/>
      <x:c r="R161" s="57"/>
      <x:c r="S161" s="57"/>
      <x:c r="T161" s="57"/>
      <x:c r="U161" s="57"/>
      <x:c r="V161" s="57"/>
      <x:c r="W161" s="57"/>
      <x:c r="X161" s="57"/>
      <x:c r="Y161" s="57"/>
      <x:c r="Z161" s="57"/>
    </x:row>
    <x:row r="162">
      <x:c r="A162" s="57"/>
      <x:c r="B162" s="57"/>
      <x:c r="C162" s="57"/>
      <x:c r="D162" s="57"/>
      <x:c r="E162" s="57"/>
      <x:c r="F162" s="57"/>
      <x:c r="G162" s="57"/>
      <x:c r="H162" s="57"/>
      <x:c r="I162" s="57"/>
      <x:c r="J162" s="57"/>
      <x:c r="K162" s="57"/>
      <x:c r="L162" s="57"/>
      <x:c r="M162" s="57"/>
      <x:c r="N162" s="57"/>
      <x:c r="O162" s="57"/>
      <x:c r="P162" s="57"/>
      <x:c r="Q162" s="57"/>
      <x:c r="R162" s="57"/>
      <x:c r="S162" s="57"/>
      <x:c r="T162" s="57"/>
      <x:c r="U162" s="57"/>
      <x:c r="V162" s="57"/>
      <x:c r="W162" s="57"/>
      <x:c r="X162" s="57"/>
      <x:c r="Y162" s="57"/>
      <x:c r="Z162" s="57"/>
    </x:row>
    <x:row r="163">
      <x:c r="A163" s="57"/>
      <x:c r="B163" s="57"/>
      <x:c r="C163" s="57"/>
      <x:c r="D163" s="57"/>
      <x:c r="E163" s="57"/>
      <x:c r="F163" s="57"/>
      <x:c r="G163" s="57"/>
      <x:c r="H163" s="57"/>
      <x:c r="I163" s="57"/>
      <x:c r="J163" s="57"/>
      <x:c r="K163" s="57"/>
      <x:c r="L163" s="57"/>
      <x:c r="M163" s="57"/>
      <x:c r="N163" s="57"/>
      <x:c r="O163" s="57"/>
      <x:c r="P163" s="57"/>
      <x:c r="Q163" s="57"/>
      <x:c r="R163" s="57"/>
      <x:c r="S163" s="57"/>
      <x:c r="T163" s="57"/>
      <x:c r="U163" s="57"/>
      <x:c r="V163" s="57"/>
      <x:c r="W163" s="57"/>
      <x:c r="X163" s="57"/>
      <x:c r="Y163" s="57"/>
      <x:c r="Z163" s="57"/>
    </x:row>
    <x:row r="164">
      <x:c r="A164" s="57"/>
      <x:c r="B164" s="57"/>
      <x:c r="C164" s="57"/>
      <x:c r="D164" s="57"/>
      <x:c r="E164" s="57"/>
      <x:c r="F164" s="57"/>
      <x:c r="G164" s="57"/>
      <x:c r="H164" s="57"/>
      <x:c r="I164" s="57"/>
      <x:c r="J164" s="57"/>
      <x:c r="K164" s="57"/>
      <x:c r="L164" s="57"/>
      <x:c r="M164" s="57"/>
      <x:c r="N164" s="57"/>
      <x:c r="O164" s="57"/>
      <x:c r="P164" s="57"/>
      <x:c r="Q164" s="57"/>
      <x:c r="R164" s="57"/>
      <x:c r="S164" s="57"/>
      <x:c r="T164" s="57"/>
      <x:c r="U164" s="57"/>
      <x:c r="V164" s="57"/>
      <x:c r="W164" s="57"/>
      <x:c r="X164" s="57"/>
      <x:c r="Y164" s="57"/>
      <x:c r="Z164" s="57"/>
    </x:row>
    <x:row r="165">
      <x:c r="A165" s="57"/>
      <x:c r="B165" s="57"/>
      <x:c r="C165" s="57"/>
      <x:c r="D165" s="57"/>
      <x:c r="E165" s="57"/>
      <x:c r="F165" s="57"/>
      <x:c r="G165" s="57"/>
      <x:c r="H165" s="57"/>
      <x:c r="I165" s="57"/>
      <x:c r="J165" s="57"/>
      <x:c r="K165" s="57"/>
      <x:c r="L165" s="57"/>
      <x:c r="M165" s="57"/>
      <x:c r="N165" s="57"/>
      <x:c r="O165" s="57"/>
      <x:c r="P165" s="57"/>
      <x:c r="Q165" s="57"/>
      <x:c r="R165" s="57"/>
      <x:c r="S165" s="57"/>
      <x:c r="T165" s="57"/>
      <x:c r="U165" s="57"/>
      <x:c r="V165" s="57"/>
      <x:c r="W165" s="57"/>
      <x:c r="X165" s="57"/>
      <x:c r="Y165" s="57"/>
      <x:c r="Z165" s="57"/>
    </x:row>
    <x:row r="166">
      <x:c r="A166" s="57"/>
      <x:c r="B166" s="57"/>
      <x:c r="C166" s="57"/>
      <x:c r="D166" s="57"/>
      <x:c r="E166" s="57"/>
      <x:c r="F166" s="57"/>
      <x:c r="G166" s="57"/>
      <x:c r="H166" s="57"/>
      <x:c r="I166" s="57"/>
      <x:c r="J166" s="57"/>
      <x:c r="K166" s="57"/>
      <x:c r="L166" s="57"/>
      <x:c r="M166" s="57"/>
      <x:c r="N166" s="57"/>
      <x:c r="O166" s="57"/>
      <x:c r="P166" s="57"/>
      <x:c r="Q166" s="57"/>
      <x:c r="R166" s="57"/>
      <x:c r="S166" s="57"/>
      <x:c r="T166" s="57"/>
      <x:c r="U166" s="57"/>
      <x:c r="V166" s="57"/>
      <x:c r="W166" s="57"/>
      <x:c r="X166" s="57"/>
      <x:c r="Y166" s="57"/>
      <x:c r="Z166" s="57"/>
    </x:row>
    <x:row r="167">
      <x:c r="A167" s="57"/>
      <x:c r="B167" s="57"/>
      <x:c r="C167" s="57"/>
      <x:c r="D167" s="57"/>
      <x:c r="E167" s="57"/>
      <x:c r="F167" s="57"/>
      <x:c r="G167" s="57"/>
      <x:c r="H167" s="57"/>
      <x:c r="I167" s="57"/>
      <x:c r="J167" s="57"/>
      <x:c r="K167" s="57"/>
      <x:c r="L167" s="57"/>
      <x:c r="M167" s="57"/>
      <x:c r="N167" s="57"/>
      <x:c r="O167" s="57"/>
      <x:c r="P167" s="57"/>
      <x:c r="Q167" s="57"/>
      <x:c r="R167" s="57"/>
      <x:c r="S167" s="57"/>
      <x:c r="T167" s="57"/>
      <x:c r="U167" s="57"/>
      <x:c r="V167" s="57"/>
      <x:c r="W167" s="57"/>
      <x:c r="X167" s="57"/>
      <x:c r="Y167" s="57"/>
      <x:c r="Z167" s="57"/>
    </x:row>
    <x:row r="168">
      <x:c r="A168" s="57"/>
      <x:c r="B168" s="57"/>
      <x:c r="C168" s="57"/>
      <x:c r="D168" s="57"/>
      <x:c r="E168" s="57"/>
      <x:c r="F168" s="57"/>
      <x:c r="G168" s="57"/>
      <x:c r="H168" s="57"/>
      <x:c r="I168" s="57"/>
      <x:c r="J168" s="57"/>
      <x:c r="K168" s="57"/>
      <x:c r="L168" s="57"/>
      <x:c r="M168" s="57"/>
      <x:c r="N168" s="57"/>
      <x:c r="O168" s="57"/>
      <x:c r="P168" s="57"/>
      <x:c r="Q168" s="57"/>
      <x:c r="R168" s="57"/>
      <x:c r="S168" s="57"/>
      <x:c r="T168" s="57"/>
      <x:c r="U168" s="57"/>
      <x:c r="V168" s="57"/>
      <x:c r="W168" s="57"/>
      <x:c r="X168" s="57"/>
      <x:c r="Y168" s="57"/>
      <x:c r="Z168" s="57"/>
    </x:row>
    <x:row r="169">
      <x:c r="A169" s="57"/>
      <x:c r="B169" s="57"/>
      <x:c r="C169" s="57"/>
      <x:c r="D169" s="57"/>
      <x:c r="E169" s="57"/>
      <x:c r="F169" s="57"/>
      <x:c r="G169" s="57"/>
      <x:c r="H169" s="57"/>
      <x:c r="I169" s="57"/>
      <x:c r="J169" s="57"/>
      <x:c r="K169" s="57"/>
      <x:c r="L169" s="57"/>
      <x:c r="M169" s="57"/>
      <x:c r="N169" s="57"/>
      <x:c r="O169" s="57"/>
      <x:c r="P169" s="57"/>
      <x:c r="Q169" s="57"/>
      <x:c r="R169" s="57"/>
      <x:c r="S169" s="57"/>
      <x:c r="T169" s="57"/>
      <x:c r="U169" s="57"/>
      <x:c r="V169" s="57"/>
      <x:c r="W169" s="57"/>
      <x:c r="X169" s="57"/>
      <x:c r="Y169" s="57"/>
      <x:c r="Z169" s="57"/>
    </x:row>
    <x:row r="170">
      <x:c r="A170" s="57"/>
      <x:c r="B170" s="57"/>
      <x:c r="C170" s="57"/>
      <x:c r="D170" s="57"/>
      <x:c r="E170" s="57"/>
      <x:c r="F170" s="57"/>
      <x:c r="G170" s="57"/>
      <x:c r="H170" s="57"/>
      <x:c r="I170" s="57"/>
      <x:c r="J170" s="57"/>
      <x:c r="K170" s="57"/>
      <x:c r="L170" s="57"/>
      <x:c r="M170" s="57"/>
      <x:c r="N170" s="57"/>
      <x:c r="O170" s="57"/>
      <x:c r="P170" s="57"/>
      <x:c r="Q170" s="57"/>
      <x:c r="R170" s="57"/>
      <x:c r="S170" s="57"/>
      <x:c r="T170" s="57"/>
      <x:c r="U170" s="57"/>
      <x:c r="V170" s="57"/>
      <x:c r="W170" s="57"/>
      <x:c r="X170" s="57"/>
      <x:c r="Y170" s="57"/>
      <x:c r="Z170" s="57"/>
    </x:row>
    <x:row r="171">
      <x:c r="A171" s="57"/>
      <x:c r="B171" s="57"/>
      <x:c r="C171" s="57"/>
      <x:c r="D171" s="57"/>
      <x:c r="E171" s="57"/>
      <x:c r="F171" s="57"/>
      <x:c r="G171" s="57"/>
      <x:c r="H171" s="57"/>
      <x:c r="I171" s="57"/>
      <x:c r="J171" s="57"/>
      <x:c r="K171" s="57"/>
      <x:c r="L171" s="57"/>
      <x:c r="M171" s="57"/>
      <x:c r="N171" s="57"/>
      <x:c r="O171" s="57"/>
      <x:c r="P171" s="57"/>
      <x:c r="Q171" s="57"/>
      <x:c r="R171" s="57"/>
      <x:c r="S171" s="57"/>
      <x:c r="T171" s="57"/>
      <x:c r="U171" s="57"/>
      <x:c r="V171" s="57"/>
      <x:c r="W171" s="57"/>
      <x:c r="X171" s="57"/>
      <x:c r="Y171" s="57"/>
      <x:c r="Z171" s="57"/>
    </x:row>
    <x:row r="172">
      <x:c r="A172" s="57"/>
      <x:c r="B172" s="57"/>
      <x:c r="C172" s="57"/>
      <x:c r="D172" s="57"/>
      <x:c r="E172" s="57"/>
      <x:c r="F172" s="57"/>
      <x:c r="G172" s="57"/>
      <x:c r="H172" s="57"/>
      <x:c r="I172" s="57"/>
      <x:c r="J172" s="57"/>
      <x:c r="K172" s="57"/>
      <x:c r="L172" s="57"/>
      <x:c r="M172" s="57"/>
      <x:c r="N172" s="57"/>
      <x:c r="O172" s="57"/>
      <x:c r="P172" s="57"/>
      <x:c r="Q172" s="57"/>
      <x:c r="R172" s="57"/>
      <x:c r="S172" s="57"/>
      <x:c r="T172" s="57"/>
      <x:c r="U172" s="57"/>
      <x:c r="V172" s="57"/>
      <x:c r="W172" s="57"/>
      <x:c r="X172" s="57"/>
      <x:c r="Y172" s="57"/>
      <x:c r="Z172" s="57"/>
    </x:row>
    <x:row r="173">
      <x:c r="A173" s="57"/>
      <x:c r="B173" s="57"/>
      <x:c r="C173" s="57"/>
      <x:c r="D173" s="57"/>
      <x:c r="E173" s="57"/>
      <x:c r="F173" s="57"/>
      <x:c r="G173" s="57"/>
      <x:c r="H173" s="57"/>
      <x:c r="I173" s="57"/>
      <x:c r="J173" s="57"/>
      <x:c r="K173" s="57"/>
      <x:c r="L173" s="57"/>
      <x:c r="M173" s="57"/>
      <x:c r="N173" s="57"/>
      <x:c r="O173" s="57"/>
      <x:c r="P173" s="57"/>
      <x:c r="Q173" s="57"/>
      <x:c r="R173" s="57"/>
      <x:c r="S173" s="57"/>
      <x:c r="T173" s="57"/>
      <x:c r="U173" s="57"/>
      <x:c r="V173" s="57"/>
      <x:c r="W173" s="57"/>
      <x:c r="X173" s="57"/>
      <x:c r="Y173" s="57"/>
      <x:c r="Z173" s="57"/>
    </x:row>
    <x:row r="174">
      <x:c r="A174" s="57"/>
      <x:c r="B174" s="57"/>
      <x:c r="C174" s="57"/>
      <x:c r="D174" s="57"/>
      <x:c r="E174" s="57"/>
      <x:c r="F174" s="57"/>
      <x:c r="G174" s="57"/>
      <x:c r="H174" s="57"/>
      <x:c r="I174" s="57"/>
      <x:c r="J174" s="57"/>
      <x:c r="K174" s="57"/>
      <x:c r="L174" s="57"/>
      <x:c r="M174" s="57"/>
      <x:c r="N174" s="57"/>
      <x:c r="O174" s="57"/>
      <x:c r="P174" s="57"/>
      <x:c r="Q174" s="57"/>
      <x:c r="R174" s="57"/>
      <x:c r="S174" s="57"/>
      <x:c r="T174" s="57"/>
      <x:c r="U174" s="57"/>
      <x:c r="V174" s="57"/>
      <x:c r="W174" s="57"/>
      <x:c r="X174" s="57"/>
      <x:c r="Y174" s="57"/>
      <x:c r="Z174" s="57"/>
    </x:row>
    <x:row r="175">
      <x:c r="A175" s="57"/>
      <x:c r="B175" s="57"/>
      <x:c r="C175" s="57"/>
      <x:c r="D175" s="57"/>
      <x:c r="E175" s="57"/>
      <x:c r="F175" s="57"/>
      <x:c r="G175" s="57"/>
      <x:c r="H175" s="57"/>
      <x:c r="I175" s="57"/>
      <x:c r="J175" s="57"/>
      <x:c r="K175" s="57"/>
      <x:c r="L175" s="57"/>
      <x:c r="M175" s="57"/>
      <x:c r="N175" s="57"/>
      <x:c r="O175" s="57"/>
      <x:c r="P175" s="57"/>
      <x:c r="Q175" s="57"/>
      <x:c r="R175" s="57"/>
      <x:c r="S175" s="57"/>
      <x:c r="T175" s="57"/>
      <x:c r="U175" s="57"/>
      <x:c r="V175" s="57"/>
      <x:c r="W175" s="57"/>
      <x:c r="X175" s="57"/>
      <x:c r="Y175" s="57"/>
      <x:c r="Z175" s="57"/>
    </x:row>
    <x:row r="176">
      <x:c r="A176" s="57"/>
      <x:c r="B176" s="57"/>
      <x:c r="C176" s="57"/>
      <x:c r="D176" s="57"/>
      <x:c r="E176" s="57"/>
      <x:c r="F176" s="57"/>
      <x:c r="G176" s="57"/>
      <x:c r="H176" s="57"/>
      <x:c r="I176" s="57"/>
      <x:c r="J176" s="57"/>
      <x:c r="K176" s="57"/>
      <x:c r="L176" s="57"/>
      <x:c r="M176" s="57"/>
      <x:c r="N176" s="57"/>
      <x:c r="O176" s="57"/>
      <x:c r="P176" s="57"/>
      <x:c r="Q176" s="57"/>
      <x:c r="R176" s="57"/>
      <x:c r="S176" s="57"/>
      <x:c r="T176" s="57"/>
      <x:c r="U176" s="57"/>
      <x:c r="V176" s="57"/>
      <x:c r="W176" s="57"/>
      <x:c r="X176" s="57"/>
      <x:c r="Y176" s="57"/>
      <x:c r="Z176" s="57"/>
    </x:row>
    <x:row r="177">
      <x:c r="A177" s="57"/>
      <x:c r="B177" s="57"/>
      <x:c r="C177" s="57"/>
      <x:c r="D177" s="57"/>
      <x:c r="E177" s="57"/>
      <x:c r="F177" s="57"/>
      <x:c r="G177" s="57"/>
      <x:c r="H177" s="57"/>
      <x:c r="I177" s="57"/>
      <x:c r="J177" s="57"/>
      <x:c r="K177" s="57"/>
      <x:c r="L177" s="57"/>
      <x:c r="M177" s="57"/>
      <x:c r="N177" s="57"/>
      <x:c r="O177" s="57"/>
      <x:c r="P177" s="57"/>
      <x:c r="Q177" s="57"/>
      <x:c r="R177" s="57"/>
      <x:c r="S177" s="57"/>
      <x:c r="T177" s="57"/>
      <x:c r="U177" s="57"/>
      <x:c r="V177" s="57"/>
      <x:c r="W177" s="57"/>
      <x:c r="X177" s="57"/>
      <x:c r="Y177" s="57"/>
      <x:c r="Z177" s="57"/>
    </x:row>
    <x:row r="178">
      <x:c r="A178" s="57"/>
      <x:c r="B178" s="57"/>
      <x:c r="C178" s="57"/>
      <x:c r="D178" s="57"/>
      <x:c r="E178" s="57"/>
      <x:c r="F178" s="57"/>
      <x:c r="G178" s="57"/>
      <x:c r="H178" s="57"/>
      <x:c r="I178" s="57"/>
      <x:c r="J178" s="57"/>
      <x:c r="K178" s="57"/>
      <x:c r="L178" s="57"/>
      <x:c r="M178" s="57"/>
      <x:c r="N178" s="57"/>
      <x:c r="O178" s="57"/>
      <x:c r="P178" s="57"/>
      <x:c r="Q178" s="57"/>
      <x:c r="R178" s="57"/>
      <x:c r="S178" s="57"/>
      <x:c r="T178" s="57"/>
      <x:c r="U178" s="57"/>
      <x:c r="V178" s="57"/>
      <x:c r="W178" s="57"/>
      <x:c r="X178" s="57"/>
      <x:c r="Y178" s="57"/>
      <x:c r="Z178" s="57"/>
    </x:row>
    <x:row r="179">
      <x:c r="A179" s="57"/>
      <x:c r="B179" s="57"/>
      <x:c r="C179" s="57"/>
      <x:c r="D179" s="57"/>
      <x:c r="E179" s="57"/>
      <x:c r="F179" s="57"/>
      <x:c r="G179" s="57"/>
      <x:c r="H179" s="57"/>
      <x:c r="I179" s="57"/>
      <x:c r="J179" s="57"/>
      <x:c r="K179" s="57"/>
      <x:c r="L179" s="57"/>
      <x:c r="M179" s="57"/>
      <x:c r="N179" s="57"/>
      <x:c r="O179" s="57"/>
      <x:c r="P179" s="57"/>
      <x:c r="Q179" s="57"/>
      <x:c r="R179" s="57"/>
      <x:c r="S179" s="57"/>
      <x:c r="T179" s="57"/>
      <x:c r="U179" s="57"/>
      <x:c r="V179" s="57"/>
      <x:c r="W179" s="57"/>
      <x:c r="X179" s="57"/>
      <x:c r="Y179" s="57"/>
      <x:c r="Z179" s="57"/>
    </x:row>
    <x:row r="180">
      <x:c r="A180" s="57"/>
      <x:c r="B180" s="57"/>
      <x:c r="C180" s="57"/>
      <x:c r="D180" s="57"/>
      <x:c r="E180" s="57"/>
      <x:c r="F180" s="57"/>
      <x:c r="G180" s="57"/>
      <x:c r="H180" s="57"/>
      <x:c r="I180" s="57"/>
      <x:c r="J180" s="57"/>
      <x:c r="K180" s="57"/>
      <x:c r="L180" s="57"/>
      <x:c r="M180" s="57"/>
      <x:c r="N180" s="57"/>
      <x:c r="O180" s="57"/>
      <x:c r="P180" s="57"/>
      <x:c r="Q180" s="57"/>
      <x:c r="R180" s="57"/>
      <x:c r="S180" s="57"/>
      <x:c r="T180" s="57"/>
      <x:c r="U180" s="57"/>
      <x:c r="V180" s="57"/>
      <x:c r="W180" s="57"/>
      <x:c r="X180" s="57"/>
      <x:c r="Y180" s="57"/>
      <x:c r="Z180" s="57"/>
    </x:row>
    <x:row r="181">
      <x:c r="A181" s="57"/>
      <x:c r="B181" s="57"/>
      <x:c r="C181" s="57"/>
      <x:c r="D181" s="57"/>
      <x:c r="E181" s="57"/>
      <x:c r="F181" s="57"/>
      <x:c r="G181" s="57"/>
      <x:c r="H181" s="57"/>
      <x:c r="I181" s="57"/>
      <x:c r="J181" s="57"/>
      <x:c r="K181" s="57"/>
      <x:c r="L181" s="57"/>
      <x:c r="M181" s="57"/>
      <x:c r="N181" s="57"/>
      <x:c r="O181" s="57"/>
      <x:c r="P181" s="57"/>
      <x:c r="Q181" s="57"/>
      <x:c r="R181" s="57"/>
      <x:c r="S181" s="57"/>
      <x:c r="T181" s="57"/>
      <x:c r="U181" s="57"/>
      <x:c r="V181" s="57"/>
      <x:c r="W181" s="57"/>
      <x:c r="X181" s="57"/>
      <x:c r="Y181" s="57"/>
      <x:c r="Z181" s="57"/>
    </x:row>
    <x:row r="182">
      <x:c r="A182" s="57"/>
      <x:c r="B182" s="57"/>
      <x:c r="C182" s="57"/>
      <x:c r="D182" s="57"/>
      <x:c r="E182" s="57"/>
      <x:c r="F182" s="57"/>
      <x:c r="G182" s="57"/>
      <x:c r="H182" s="57"/>
      <x:c r="I182" s="57"/>
      <x:c r="J182" s="57"/>
      <x:c r="K182" s="57"/>
      <x:c r="L182" s="57"/>
      <x:c r="M182" s="57"/>
      <x:c r="N182" s="57"/>
      <x:c r="O182" s="57"/>
      <x:c r="P182" s="57"/>
      <x:c r="Q182" s="57"/>
      <x:c r="R182" s="57"/>
      <x:c r="S182" s="57"/>
      <x:c r="T182" s="57"/>
      <x:c r="U182" s="57"/>
      <x:c r="V182" s="57"/>
      <x:c r="W182" s="57"/>
      <x:c r="X182" s="57"/>
      <x:c r="Y182" s="57"/>
      <x:c r="Z182" s="57"/>
    </x:row>
    <x:row r="183">
      <x:c r="A183" s="57"/>
      <x:c r="B183" s="57"/>
      <x:c r="C183" s="57"/>
      <x:c r="D183" s="57"/>
      <x:c r="E183" s="57"/>
      <x:c r="F183" s="57"/>
      <x:c r="G183" s="57"/>
      <x:c r="H183" s="57"/>
      <x:c r="I183" s="57"/>
      <x:c r="J183" s="57"/>
      <x:c r="K183" s="57"/>
      <x:c r="L183" s="57"/>
      <x:c r="M183" s="57"/>
      <x:c r="N183" s="57"/>
      <x:c r="O183" s="57"/>
      <x:c r="P183" s="57"/>
      <x:c r="Q183" s="57"/>
      <x:c r="R183" s="57"/>
      <x:c r="S183" s="57"/>
      <x:c r="T183" s="57"/>
      <x:c r="U183" s="57"/>
      <x:c r="V183" s="57"/>
      <x:c r="W183" s="57"/>
      <x:c r="X183" s="57"/>
      <x:c r="Y183" s="57"/>
      <x:c r="Z183" s="57"/>
    </x:row>
    <x:row r="184">
      <x:c r="A184" s="57"/>
      <x:c r="B184" s="57"/>
      <x:c r="C184" s="57"/>
      <x:c r="D184" s="57"/>
      <x:c r="E184" s="57"/>
      <x:c r="F184" s="57"/>
      <x:c r="G184" s="57"/>
      <x:c r="H184" s="57"/>
      <x:c r="I184" s="57"/>
      <x:c r="J184" s="57"/>
      <x:c r="K184" s="57"/>
      <x:c r="L184" s="57"/>
      <x:c r="M184" s="57"/>
      <x:c r="N184" s="57"/>
      <x:c r="O184" s="57"/>
      <x:c r="P184" s="57"/>
      <x:c r="Q184" s="57"/>
      <x:c r="R184" s="57"/>
      <x:c r="S184" s="57"/>
      <x:c r="T184" s="57"/>
      <x:c r="U184" s="57"/>
      <x:c r="V184" s="57"/>
      <x:c r="W184" s="57"/>
      <x:c r="X184" s="57"/>
      <x:c r="Y184" s="57"/>
      <x:c r="Z184" s="57"/>
    </x:row>
    <x:row r="185">
      <x:c r="A185" s="57"/>
      <x:c r="B185" s="57"/>
      <x:c r="C185" s="57"/>
      <x:c r="D185" s="57"/>
      <x:c r="E185" s="57"/>
      <x:c r="F185" s="57"/>
      <x:c r="G185" s="57"/>
      <x:c r="H185" s="57"/>
      <x:c r="I185" s="57"/>
      <x:c r="J185" s="57"/>
      <x:c r="K185" s="57"/>
      <x:c r="L185" s="57"/>
      <x:c r="M185" s="57"/>
      <x:c r="N185" s="57"/>
      <x:c r="O185" s="57"/>
      <x:c r="P185" s="57"/>
      <x:c r="Q185" s="57"/>
      <x:c r="R185" s="57"/>
      <x:c r="S185" s="57"/>
      <x:c r="T185" s="57"/>
      <x:c r="U185" s="57"/>
      <x:c r="V185" s="57"/>
      <x:c r="W185" s="57"/>
      <x:c r="X185" s="57"/>
      <x:c r="Y185" s="57"/>
      <x:c r="Z185" s="57"/>
    </x:row>
    <x:row r="186">
      <x:c r="A186" s="57"/>
      <x:c r="B186" s="57"/>
      <x:c r="C186" s="57"/>
      <x:c r="D186" s="57"/>
      <x:c r="E186" s="57"/>
      <x:c r="F186" s="57"/>
      <x:c r="G186" s="57"/>
      <x:c r="H186" s="57"/>
      <x:c r="I186" s="57"/>
      <x:c r="J186" s="57"/>
      <x:c r="K186" s="57"/>
      <x:c r="L186" s="57"/>
      <x:c r="M186" s="57"/>
      <x:c r="N186" s="57"/>
      <x:c r="O186" s="57"/>
      <x:c r="P186" s="57"/>
      <x:c r="Q186" s="57"/>
      <x:c r="R186" s="57"/>
      <x:c r="S186" s="57"/>
      <x:c r="T186" s="57"/>
      <x:c r="U186" s="57"/>
      <x:c r="V186" s="57"/>
      <x:c r="W186" s="57"/>
      <x:c r="X186" s="57"/>
      <x:c r="Y186" s="57"/>
      <x:c r="Z186" s="57"/>
    </x:row>
    <x:row r="187">
      <x:c r="A187" s="57"/>
      <x:c r="B187" s="57"/>
      <x:c r="C187" s="57"/>
      <x:c r="D187" s="57"/>
      <x:c r="E187" s="57"/>
      <x:c r="F187" s="57"/>
      <x:c r="G187" s="57"/>
      <x:c r="H187" s="57"/>
      <x:c r="I187" s="57"/>
      <x:c r="J187" s="57"/>
      <x:c r="K187" s="57"/>
      <x:c r="L187" s="57"/>
      <x:c r="M187" s="57"/>
      <x:c r="N187" s="57"/>
      <x:c r="O187" s="57"/>
      <x:c r="P187" s="57"/>
      <x:c r="Q187" s="57"/>
      <x:c r="R187" s="57"/>
      <x:c r="S187" s="57"/>
      <x:c r="T187" s="57"/>
      <x:c r="U187" s="57"/>
      <x:c r="V187" s="57"/>
      <x:c r="W187" s="57"/>
      <x:c r="X187" s="57"/>
      <x:c r="Y187" s="57"/>
      <x:c r="Z187" s="57"/>
    </x:row>
    <x:row r="188">
      <x:c r="A188" s="57"/>
      <x:c r="B188" s="57"/>
      <x:c r="C188" s="57"/>
      <x:c r="D188" s="57"/>
      <x:c r="E188" s="57"/>
      <x:c r="F188" s="57"/>
      <x:c r="G188" s="57"/>
      <x:c r="H188" s="57"/>
      <x:c r="I188" s="57"/>
      <x:c r="J188" s="57"/>
      <x:c r="K188" s="57"/>
      <x:c r="L188" s="57"/>
      <x:c r="M188" s="57"/>
      <x:c r="N188" s="57"/>
      <x:c r="O188" s="57"/>
      <x:c r="P188" s="57"/>
      <x:c r="Q188" s="57"/>
      <x:c r="R188" s="57"/>
      <x:c r="S188" s="57"/>
      <x:c r="T188" s="57"/>
      <x:c r="U188" s="57"/>
      <x:c r="V188" s="57"/>
      <x:c r="W188" s="57"/>
      <x:c r="X188" s="57"/>
      <x:c r="Y188" s="57"/>
      <x:c r="Z188" s="57"/>
    </x:row>
    <x:row r="189">
      <x:c r="A189" s="57"/>
      <x:c r="B189" s="57"/>
      <x:c r="C189" s="57"/>
      <x:c r="D189" s="57"/>
      <x:c r="E189" s="57"/>
      <x:c r="F189" s="57"/>
      <x:c r="G189" s="57"/>
      <x:c r="H189" s="57"/>
      <x:c r="I189" s="57"/>
      <x:c r="J189" s="57"/>
      <x:c r="K189" s="57"/>
      <x:c r="L189" s="57"/>
      <x:c r="M189" s="57"/>
      <x:c r="N189" s="57"/>
      <x:c r="O189" s="57"/>
      <x:c r="P189" s="57"/>
      <x:c r="Q189" s="57"/>
      <x:c r="R189" s="57"/>
      <x:c r="S189" s="57"/>
      <x:c r="T189" s="57"/>
      <x:c r="U189" s="57"/>
      <x:c r="V189" s="57"/>
      <x:c r="W189" s="57"/>
      <x:c r="X189" s="57"/>
      <x:c r="Y189" s="57"/>
      <x:c r="Z189" s="57"/>
    </x:row>
    <x:row r="190">
      <x:c r="A190" s="57"/>
      <x:c r="B190" s="57"/>
      <x:c r="C190" s="57"/>
      <x:c r="D190" s="57"/>
      <x:c r="E190" s="57"/>
      <x:c r="F190" s="57"/>
      <x:c r="G190" s="57"/>
      <x:c r="H190" s="57"/>
      <x:c r="I190" s="57"/>
      <x:c r="J190" s="57"/>
      <x:c r="K190" s="57"/>
      <x:c r="L190" s="57"/>
      <x:c r="M190" s="57"/>
      <x:c r="N190" s="57"/>
      <x:c r="O190" s="57"/>
      <x:c r="P190" s="57"/>
      <x:c r="Q190" s="57"/>
      <x:c r="R190" s="57"/>
      <x:c r="S190" s="57"/>
      <x:c r="T190" s="57"/>
      <x:c r="U190" s="57"/>
      <x:c r="V190" s="57"/>
      <x:c r="W190" s="57"/>
      <x:c r="X190" s="57"/>
      <x:c r="Y190" s="57"/>
      <x:c r="Z190" s="57"/>
    </x:row>
    <x:row r="191">
      <x:c r="A191" s="57"/>
      <x:c r="B191" s="57"/>
      <x:c r="C191" s="57"/>
      <x:c r="D191" s="57"/>
      <x:c r="E191" s="57"/>
      <x:c r="F191" s="57"/>
      <x:c r="G191" s="57"/>
      <x:c r="H191" s="57"/>
      <x:c r="I191" s="57"/>
      <x:c r="J191" s="57"/>
      <x:c r="K191" s="57"/>
      <x:c r="L191" s="57"/>
      <x:c r="M191" s="57"/>
      <x:c r="N191" s="57"/>
      <x:c r="O191" s="57"/>
      <x:c r="P191" s="57"/>
      <x:c r="Q191" s="57"/>
      <x:c r="R191" s="57"/>
      <x:c r="S191" s="57"/>
      <x:c r="T191" s="57"/>
      <x:c r="U191" s="57"/>
      <x:c r="V191" s="57"/>
      <x:c r="W191" s="57"/>
      <x:c r="X191" s="57"/>
      <x:c r="Y191" s="57"/>
      <x:c r="Z191" s="57"/>
    </x:row>
    <x:row r="192">
      <x:c r="A192" s="57"/>
      <x:c r="B192" s="57"/>
      <x:c r="C192" s="57"/>
      <x:c r="D192" s="57"/>
      <x:c r="E192" s="57"/>
      <x:c r="F192" s="57"/>
      <x:c r="G192" s="57"/>
      <x:c r="H192" s="57"/>
      <x:c r="I192" s="57"/>
      <x:c r="J192" s="57"/>
      <x:c r="K192" s="57"/>
      <x:c r="L192" s="57"/>
      <x:c r="M192" s="57"/>
      <x:c r="N192" s="57"/>
      <x:c r="O192" s="57"/>
      <x:c r="P192" s="57"/>
      <x:c r="Q192" s="57"/>
      <x:c r="R192" s="57"/>
      <x:c r="S192" s="57"/>
      <x:c r="T192" s="57"/>
      <x:c r="U192" s="57"/>
      <x:c r="V192" s="57"/>
      <x:c r="W192" s="57"/>
      <x:c r="X192" s="57"/>
      <x:c r="Y192" s="57"/>
      <x:c r="Z192" s="57"/>
    </x:row>
    <x:row r="193">
      <x:c r="A193" s="57"/>
      <x:c r="B193" s="57"/>
      <x:c r="C193" s="57"/>
      <x:c r="D193" s="57"/>
      <x:c r="E193" s="57"/>
      <x:c r="F193" s="57"/>
      <x:c r="G193" s="57"/>
      <x:c r="H193" s="57"/>
      <x:c r="I193" s="57"/>
      <x:c r="J193" s="57"/>
      <x:c r="K193" s="57"/>
      <x:c r="L193" s="57"/>
      <x:c r="M193" s="57"/>
      <x:c r="N193" s="57"/>
      <x:c r="O193" s="57"/>
      <x:c r="P193" s="57"/>
      <x:c r="Q193" s="57"/>
      <x:c r="R193" s="57"/>
      <x:c r="S193" s="57"/>
      <x:c r="T193" s="57"/>
      <x:c r="U193" s="57"/>
      <x:c r="V193" s="57"/>
      <x:c r="W193" s="57"/>
      <x:c r="X193" s="57"/>
      <x:c r="Y193" s="57"/>
      <x:c r="Z193" s="57"/>
    </x:row>
    <x:row r="194">
      <x:c r="A194" s="57"/>
      <x:c r="B194" s="57"/>
      <x:c r="C194" s="57"/>
      <x:c r="D194" s="57"/>
      <x:c r="E194" s="57"/>
      <x:c r="F194" s="57"/>
      <x:c r="G194" s="57"/>
      <x:c r="H194" s="57"/>
      <x:c r="I194" s="57"/>
      <x:c r="J194" s="57"/>
      <x:c r="K194" s="57"/>
      <x:c r="L194" s="57"/>
      <x:c r="M194" s="57"/>
      <x:c r="N194" s="57"/>
      <x:c r="O194" s="57"/>
      <x:c r="P194" s="57"/>
      <x:c r="Q194" s="57"/>
      <x:c r="R194" s="57"/>
      <x:c r="S194" s="57"/>
      <x:c r="T194" s="57"/>
      <x:c r="U194" s="57"/>
      <x:c r="V194" s="57"/>
      <x:c r="W194" s="57"/>
      <x:c r="X194" s="57"/>
      <x:c r="Y194" s="57"/>
      <x:c r="Z194" s="57"/>
    </x:row>
    <x:row r="195">
      <x:c r="A195" s="57"/>
      <x:c r="B195" s="57"/>
      <x:c r="C195" s="57"/>
      <x:c r="D195" s="57"/>
      <x:c r="E195" s="57"/>
      <x:c r="F195" s="57"/>
      <x:c r="G195" s="57"/>
      <x:c r="H195" s="57"/>
      <x:c r="I195" s="57"/>
      <x:c r="J195" s="57"/>
      <x:c r="K195" s="57"/>
      <x:c r="L195" s="57"/>
      <x:c r="M195" s="57"/>
      <x:c r="N195" s="57"/>
      <x:c r="O195" s="57"/>
      <x:c r="P195" s="57"/>
      <x:c r="Q195" s="57"/>
      <x:c r="R195" s="57"/>
      <x:c r="S195" s="57"/>
      <x:c r="T195" s="57"/>
      <x:c r="U195" s="57"/>
      <x:c r="V195" s="57"/>
      <x:c r="W195" s="57"/>
      <x:c r="X195" s="57"/>
      <x:c r="Y195" s="57"/>
      <x:c r="Z195" s="57"/>
    </x:row>
    <x:row r="196">
      <x:c r="A196" s="57"/>
      <x:c r="B196" s="57"/>
      <x:c r="C196" s="57"/>
      <x:c r="D196" s="57"/>
      <x:c r="E196" s="57"/>
      <x:c r="F196" s="57"/>
      <x:c r="G196" s="57"/>
      <x:c r="H196" s="57"/>
      <x:c r="I196" s="57"/>
      <x:c r="J196" s="57"/>
      <x:c r="K196" s="57"/>
      <x:c r="L196" s="57"/>
      <x:c r="M196" s="57"/>
      <x:c r="N196" s="57"/>
      <x:c r="O196" s="57"/>
      <x:c r="P196" s="57"/>
      <x:c r="Q196" s="57"/>
      <x:c r="R196" s="57"/>
      <x:c r="S196" s="57"/>
      <x:c r="T196" s="57"/>
      <x:c r="U196" s="57"/>
      <x:c r="V196" s="57"/>
      <x:c r="W196" s="57"/>
      <x:c r="X196" s="57"/>
      <x:c r="Y196" s="57"/>
      <x:c r="Z196" s="57"/>
    </x:row>
    <x:row r="197">
      <x:c r="A197" s="57"/>
      <x:c r="B197" s="57"/>
      <x:c r="C197" s="57"/>
      <x:c r="D197" s="57"/>
      <x:c r="E197" s="57"/>
      <x:c r="F197" s="57"/>
      <x:c r="G197" s="57"/>
      <x:c r="H197" s="57"/>
      <x:c r="I197" s="57"/>
      <x:c r="J197" s="57"/>
      <x:c r="K197" s="57"/>
      <x:c r="L197" s="57"/>
      <x:c r="M197" s="57"/>
      <x:c r="N197" s="57"/>
      <x:c r="O197" s="57"/>
      <x:c r="P197" s="57"/>
      <x:c r="Q197" s="57"/>
      <x:c r="R197" s="57"/>
      <x:c r="S197" s="57"/>
      <x:c r="T197" s="57"/>
      <x:c r="U197" s="57"/>
      <x:c r="V197" s="57"/>
      <x:c r="W197" s="57"/>
      <x:c r="X197" s="57"/>
      <x:c r="Y197" s="57"/>
      <x:c r="Z197" s="57"/>
    </x:row>
    <x:row r="198">
      <x:c r="A198" s="57"/>
      <x:c r="B198" s="57"/>
      <x:c r="C198" s="57"/>
      <x:c r="D198" s="57"/>
      <x:c r="E198" s="57"/>
      <x:c r="F198" s="57"/>
      <x:c r="G198" s="57"/>
      <x:c r="H198" s="57"/>
      <x:c r="I198" s="57"/>
      <x:c r="J198" s="57"/>
      <x:c r="K198" s="57"/>
      <x:c r="L198" s="57"/>
      <x:c r="M198" s="57"/>
      <x:c r="N198" s="57"/>
      <x:c r="O198" s="57"/>
      <x:c r="P198" s="57"/>
      <x:c r="Q198" s="57"/>
      <x:c r="R198" s="57"/>
      <x:c r="S198" s="57"/>
      <x:c r="T198" s="57"/>
      <x:c r="U198" s="57"/>
      <x:c r="V198" s="57"/>
      <x:c r="W198" s="57"/>
      <x:c r="X198" s="57"/>
      <x:c r="Y198" s="57"/>
      <x:c r="Z198" s="57"/>
    </x:row>
    <x:row r="199">
      <x:c r="A199" s="57"/>
      <x:c r="B199" s="57"/>
      <x:c r="C199" s="57"/>
      <x:c r="D199" s="57"/>
      <x:c r="E199" s="57"/>
      <x:c r="F199" s="57"/>
      <x:c r="G199" s="57"/>
      <x:c r="H199" s="57"/>
      <x:c r="I199" s="57"/>
      <x:c r="J199" s="57"/>
      <x:c r="K199" s="57"/>
      <x:c r="L199" s="57"/>
      <x:c r="M199" s="57"/>
      <x:c r="N199" s="57"/>
      <x:c r="O199" s="57"/>
      <x:c r="P199" s="57"/>
      <x:c r="Q199" s="57"/>
      <x:c r="R199" s="57"/>
      <x:c r="S199" s="57"/>
      <x:c r="T199" s="57"/>
      <x:c r="U199" s="57"/>
      <x:c r="V199" s="57"/>
      <x:c r="W199" s="57"/>
      <x:c r="X199" s="57"/>
      <x:c r="Y199" s="57"/>
      <x:c r="Z199" s="57"/>
    </x:row>
    <x:row r="200">
      <x:c r="A200" s="57"/>
      <x:c r="B200" s="57"/>
      <x:c r="C200" s="57"/>
      <x:c r="D200" s="57"/>
      <x:c r="E200" s="57"/>
      <x:c r="F200" s="57"/>
      <x:c r="G200" s="57"/>
      <x:c r="H200" s="57"/>
      <x:c r="I200" s="57"/>
      <x:c r="J200" s="57"/>
      <x:c r="K200" s="57"/>
      <x:c r="L200" s="57"/>
      <x:c r="M200" s="57"/>
      <x:c r="N200" s="57"/>
      <x:c r="O200" s="57"/>
      <x:c r="P200" s="57"/>
      <x:c r="Q200" s="57"/>
      <x:c r="R200" s="57"/>
      <x:c r="S200" s="57"/>
      <x:c r="T200" s="57"/>
      <x:c r="U200" s="57"/>
      <x:c r="V200" s="57"/>
      <x:c r="W200" s="57"/>
      <x:c r="X200" s="57"/>
      <x:c r="Y200" s="57"/>
      <x:c r="Z200" s="57"/>
    </x:row>
  </x:sheetData>
  <x:mergeCells>
    <x:mergeCell ref="A1:L2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L10"/>
    <x:mergeCell ref="A17:L17"/>
    <x:mergeCell ref="A24:D24"/>
    <x:mergeCell ref="A39:L39"/>
    <x:mergeCell ref="A59:L61"/>
    <x:mergeCell ref="A63:L65"/>
  </x:mergeCells>
  <x:pageMargins left="0.7" right="0.7" top="0.75" bottom="0.75" header="0.3" footer="0.3"/>
  <x:drawing xmlns:r="http://schemas.openxmlformats.org/officeDocument/2006/relationships" r:id="Rf2b2dbf11bd1405e"/>
</x:worksheet>
</file>